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vanderbilt365-my.sharepoint.com/personal/ethan_i_thorpe_vanderbilt_edu/Documents/PCG Lab/AI Energy Use/"/>
    </mc:Choice>
  </mc:AlternateContent>
  <xr:revisionPtr revIDLastSave="26" documentId="8_{B956203A-A529-41E6-9757-7DB4D08A8FF7}" xr6:coauthVersionLast="47" xr6:coauthVersionMax="47" xr10:uidLastSave="{C88AFB1B-9345-4B21-BC31-66089C4AF31D}"/>
  <bookViews>
    <workbookView xWindow="-110" yWindow="-110" windowWidth="19420" windowHeight="10300" xr2:uid="{5FED7D67-5F78-4D39-9C53-4973E463F83C}"/>
  </bookViews>
  <sheets>
    <sheet name="merged_data" sheetId="1" r:id="rId1"/>
  </sheets>
  <calcPr calcId="0"/>
</workbook>
</file>

<file path=xl/calcChain.xml><?xml version="1.0" encoding="utf-8"?>
<calcChain xmlns="http://schemas.openxmlformats.org/spreadsheetml/2006/main">
  <c r="O26"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tc={4A871751-4B51-4616-9ADC-D0D2B59CAF03}</author>
    <author>tc={D76A37FA-38C1-44D1-9C89-D569047BE873}</author>
  </authors>
  <commentList>
    <comment ref="M1" authorId="0" shapeId="0" xr:uid="{4A871751-4B51-4616-9ADC-D0D2B59CAF03}">
      <text>
        <t>[Threaded comment]
Your version of Excel allows you to read this threaded comment; however, any edits to it will get removed if the file is opened in a newer version of Excel. Learn more: https://go.microsoft.com/fwlink/?linkid=870924
Comment:
    Doubled to account for non-compute energy
Reply:
    For the smallest two models (Phi 3 Mini &amp; LLaMa 3.1 8B) the default during v2 was data from 320 max batch steps. For the larger models (Gemma 27B, Mistral 8x7B, LLaMa 70B), the default is data from 512 max batch size. For LLaMa 405B, the default displayed was the data from 128 max batch size. It is unclear why those figures were chosen among all the different batch sizes, but it was the default displayed on the leaderboard during v2.</t>
      </text>
    </comment>
    <comment ref="O26" authorId="1" shapeId="0" xr:uid="{D76A37FA-38C1-44D1-9C89-D569047BE873}">
      <text>
        <t>[Threaded comment]
Your version of Excel allows you to read this threaded comment; however, any edits to it will get removed if the file is opened in a newer version of Excel. Learn more: https://go.microsoft.com/fwlink/?linkid=870924
Comment:
    Energy consumption for 1,000 tokens per day for a year. The 1,000 tokens cancels out the conversion from Wh to kWh (i.e., 1,000 tokens measured in kWh = 1 token measured in Wh) so it is only necessary to multiply by 2 to account for non-compute energy and then by 365 for each day in a year.</t>
      </text>
    </comment>
  </commentList>
</comments>
</file>

<file path=xl/sharedStrings.xml><?xml version="1.0" encoding="utf-8"?>
<sst xmlns="http://schemas.openxmlformats.org/spreadsheetml/2006/main" count="224" uniqueCount="29">
  <si>
    <t>Model</t>
  </si>
  <si>
    <t>GPU</t>
  </si>
  <si>
    <t>TP</t>
  </si>
  <si>
    <t>PP</t>
  </si>
  <si>
    <t>Energy/req (J)</t>
  </si>
  <si>
    <t>Avg TPOT (s)</t>
  </si>
  <si>
    <t>Token tput (tok/s)</t>
  </si>
  <si>
    <t>Avg Output Tokens</t>
  </si>
  <si>
    <t>Avg BS (reqs)</t>
  </si>
  <si>
    <t>Max BS (reqs)</t>
  </si>
  <si>
    <t>google/gemma-2-27b-it</t>
  </si>
  <si>
    <t>NVIDIA H100 80GB HBM3</t>
  </si>
  <si>
    <t>google/gemma-2-2b-it</t>
  </si>
  <si>
    <t>google/gemma-2-9b-it</t>
  </si>
  <si>
    <t>meta-llama/Meta-Llama-3.1-405B-Instruct</t>
  </si>
  <si>
    <t>meta-llama/Meta-Llama-3.1-70B-Instruct</t>
  </si>
  <si>
    <t>meta-llama/Meta-Llama-3.1-8B-Instruct</t>
  </si>
  <si>
    <t>microsoft/Phi-3-medium-4k-instruct</t>
  </si>
  <si>
    <t>microsoft/Phi-3-mini-4k-instruct</t>
  </si>
  <si>
    <t>microsoft/Phi-3-small-8k-instruct</t>
  </si>
  <si>
    <t>mistralai/Mistral-7B-Instruct-v0.3</t>
  </si>
  <si>
    <t>mistralai/Mistral-Large-Instruct-2407</t>
  </si>
  <si>
    <t>mistralai/Mistral-Nemo-Instruct-2407</t>
  </si>
  <si>
    <t>mistralai/Mixtral-8x22B-Instruct-v0.1</t>
  </si>
  <si>
    <t>mistralai/Mixtral-8x7B-Instruct-v0.1</t>
  </si>
  <si>
    <t>Energy/400 Tokens (Wh)</t>
  </si>
  <si>
    <t>Compute Energy/Token (Wh)</t>
  </si>
  <si>
    <t>Compute Energy/req (Wh)</t>
  </si>
  <si>
    <t>Energy consumption for 1,000 tokens per day for a year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</si>
</sst>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sz val="9"/>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horpe, Ethan I" id="{7394F379-7173-477C-8457-D8030CF377AC}" userId="S::ethan.i.thorpe@vanderbilt.edu::8b91aaa5-5c65-4c7e-889a-b5a3f2ab8a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 dT="2026-03-10T00:42:15.29" personId="{7394F379-7173-477C-8457-D8030CF377AC}" id="{4A871751-4B51-4616-9ADC-D0D2B59CAF03}">
    <text>Doubled to account for non-compute energy</text>
  </threadedComment>
  <threadedComment ref="M1" dT="2026-03-10T00:53:48.48" personId="{7394F379-7173-477C-8457-D8030CF377AC}" id="{2B831100-455D-4F0F-A03E-E8B299FA870D}" parentId="{4A871751-4B51-4616-9ADC-D0D2B59CAF03}">
    <text>For the smallest two models (Phi 3 Mini &amp; LLaMa 3.1 8B) the default during v2 was data from 320 max batch steps. For the larger models (Gemma 27B, Mistral 8x7B, LLaMa 70B), the default is data from 512 max batch size. For LLaMa 405B, the default displayed was the data from 128 max batch size. It is unclear why those figures were chosen among all the different batch sizes, but it was the default displayed on the leaderboard during v2.</text>
  </threadedComment>
  <threadedComment ref="O26" dT="2026-03-10T01:04:15.66" personId="{7394F379-7173-477C-8457-D8030CF377AC}" id="{D76A37FA-38C1-44D1-9C89-D569047BE873}">
    <text>Energy consumption for 1,000 tokens per day for a year. The 1,000 tokens cancels out the conversion from Wh to kWh (i.e., 1,000 tokens measured in kWh = 1 token measured in Wh) so it is only necessary to multiply by 2 to account for non-compute energy and then by 365 for each day in a year.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19AFA-6F76-4FEE-B4B9-98166002262C}">
  <dimension ref="A1:O106"/>
  <sheetViews>
    <sheetView tabSelected="1" topLeftCell="K1" workbookViewId="0">
      <selection activeCell="O28" sqref="O28"/>
    </sheetView>
  </sheetViews>
  <sheetFormatPr defaultRowHeight="14.5" x14ac:dyDescent="0.35"/>
  <cols>
    <col min="1" max="1" width="50.90625" customWidth="1"/>
    <col min="2" max="2" width="37.08984375" customWidth="1"/>
    <col min="5" max="5" width="22.7265625" customWidth="1"/>
    <col min="6" max="6" width="30.453125" customWidth="1"/>
    <col min="7" max="7" width="30.54296875" customWidth="1"/>
    <col min="8" max="8" width="32.6328125" customWidth="1"/>
    <col min="9" max="9" width="25.7265625" customWidth="1"/>
    <col min="10" max="10" width="24.90625" customWidth="1"/>
    <col min="11" max="11" width="31.90625" customWidth="1"/>
    <col min="12" max="12" width="27" customWidth="1"/>
    <col min="13" max="13" width="21.26953125" customWidth="1"/>
    <col min="15" max="15" width="50.08984375" customWidth="1"/>
  </cols>
  <sheetData>
    <row r="1" spans="1:13" x14ac:dyDescent="0.35">
      <c r="A1" t="s">
        <v>0</v>
      </c>
      <c r="B1" t="s">
        <v>1</v>
      </c>
      <c r="C1" t="s">
        <v>2</v>
      </c>
      <c r="D1" t="s">
        <v>3</v>
      </c>
      <c r="E1" t="s">
        <v>4</v>
      </c>
      <c r="F1" t="s">
        <v>5</v>
      </c>
      <c r="G1" t="s">
        <v>6</v>
      </c>
      <c r="H1" t="s">
        <v>7</v>
      </c>
      <c r="I1" t="s">
        <v>8</v>
      </c>
      <c r="J1" t="s">
        <v>9</v>
      </c>
      <c r="K1" t="s">
        <v>27</v>
      </c>
      <c r="L1" t="s">
        <v>26</v>
      </c>
      <c r="M1" t="s">
        <v>25</v>
      </c>
    </row>
    <row r="2" spans="1:13" x14ac:dyDescent="0.35">
      <c r="A2" t="s">
        <v>10</v>
      </c>
      <c r="B2" t="s">
        <v>11</v>
      </c>
      <c r="C2">
        <v>2</v>
      </c>
      <c r="D2">
        <v>1</v>
      </c>
      <c r="E2">
        <v>164.38802330085099</v>
      </c>
      <c r="F2">
        <v>8.9195427706262098E-2</v>
      </c>
      <c r="G2">
        <v>1350.12207730501</v>
      </c>
      <c r="H2">
        <v>394.14850000000001</v>
      </c>
      <c r="I2">
        <v>127.730344552348</v>
      </c>
      <c r="J2">
        <v>128</v>
      </c>
      <c r="K2">
        <f>E2*0.00027777777777</f>
        <v>4.5663339804513363E-2</v>
      </c>
      <c r="L2">
        <f>K2/H2</f>
        <v>1.1585313607565007E-4</v>
      </c>
      <c r="M2">
        <f>L2*400*2</f>
        <v>9.2682508860520055E-2</v>
      </c>
    </row>
    <row r="3" spans="1:13" x14ac:dyDescent="0.35">
      <c r="A3" t="s">
        <v>10</v>
      </c>
      <c r="B3" t="s">
        <v>11</v>
      </c>
      <c r="C3">
        <v>2</v>
      </c>
      <c r="D3">
        <v>1</v>
      </c>
      <c r="E3">
        <v>147.251855982655</v>
      </c>
      <c r="F3">
        <v>0.110684605142657</v>
      </c>
      <c r="G3">
        <v>1534.2343867408199</v>
      </c>
      <c r="H3">
        <v>395.15649999999999</v>
      </c>
      <c r="I3">
        <v>191.583474816072</v>
      </c>
      <c r="J3">
        <v>192</v>
      </c>
      <c r="K3">
        <f t="shared" ref="K3:K66" si="0">E3*0.00027777777777</f>
        <v>4.0903293327369986E-2</v>
      </c>
      <c r="L3">
        <f t="shared" ref="L3:L66" si="1">K3/H3</f>
        <v>1.0351162976534611E-4</v>
      </c>
      <c r="M3">
        <f t="shared" ref="M3:M66" si="2">L3*400*2</f>
        <v>8.2809303812276885E-2</v>
      </c>
    </row>
    <row r="4" spans="1:13" x14ac:dyDescent="0.35">
      <c r="A4" t="s">
        <v>10</v>
      </c>
      <c r="B4" t="s">
        <v>11</v>
      </c>
      <c r="C4">
        <v>2</v>
      </c>
      <c r="D4">
        <v>1</v>
      </c>
      <c r="E4">
        <v>139.41917357638499</v>
      </c>
      <c r="F4">
        <v>0.13542587727128799</v>
      </c>
      <c r="G4">
        <v>1608.56682819261</v>
      </c>
      <c r="H4">
        <v>395.59899999999999</v>
      </c>
      <c r="I4">
        <v>255.39310009718099</v>
      </c>
      <c r="J4">
        <v>256</v>
      </c>
      <c r="K4">
        <f t="shared" si="0"/>
        <v>3.8727548214578127E-2</v>
      </c>
      <c r="L4">
        <f t="shared" si="1"/>
        <v>9.7895970956898593E-5</v>
      </c>
      <c r="M4">
        <f t="shared" si="2"/>
        <v>7.8316776765518875E-2</v>
      </c>
    </row>
    <row r="5" spans="1:13" x14ac:dyDescent="0.35">
      <c r="A5" t="s">
        <v>10</v>
      </c>
      <c r="B5" t="s">
        <v>11</v>
      </c>
      <c r="C5">
        <v>2</v>
      </c>
      <c r="D5">
        <v>1</v>
      </c>
      <c r="E5">
        <v>133.57836557722101</v>
      </c>
      <c r="F5">
        <v>0.153322308022417</v>
      </c>
      <c r="G5">
        <v>1734.1074316659101</v>
      </c>
      <c r="H5">
        <v>396.89249999999998</v>
      </c>
      <c r="I5">
        <v>319.15237253168198</v>
      </c>
      <c r="J5">
        <v>320</v>
      </c>
      <c r="K5">
        <f t="shared" si="0"/>
        <v>3.7105101548189114E-2</v>
      </c>
      <c r="L5">
        <f t="shared" si="1"/>
        <v>9.3489046903605171E-5</v>
      </c>
      <c r="M5">
        <f t="shared" si="2"/>
        <v>7.4791237522884135E-2</v>
      </c>
    </row>
    <row r="6" spans="1:13" x14ac:dyDescent="0.35">
      <c r="A6" t="s">
        <v>10</v>
      </c>
      <c r="B6" t="s">
        <v>11</v>
      </c>
      <c r="C6">
        <v>2</v>
      </c>
      <c r="D6">
        <v>1</v>
      </c>
      <c r="E6">
        <v>126.264876148555</v>
      </c>
      <c r="F6">
        <v>0.20194135108272601</v>
      </c>
      <c r="G6">
        <v>1793.08106431593</v>
      </c>
      <c r="H6">
        <v>395.55200000000002</v>
      </c>
      <c r="I6">
        <v>509.72781885397399</v>
      </c>
      <c r="J6">
        <v>512</v>
      </c>
      <c r="K6">
        <f t="shared" si="0"/>
        <v>3.5073576706949883E-2</v>
      </c>
      <c r="L6">
        <f t="shared" si="1"/>
        <v>8.8669951629494689E-5</v>
      </c>
      <c r="M6">
        <f t="shared" si="2"/>
        <v>7.0935961303595751E-2</v>
      </c>
    </row>
    <row r="7" spans="1:13" x14ac:dyDescent="0.35">
      <c r="A7" t="s">
        <v>10</v>
      </c>
      <c r="B7" t="s">
        <v>11</v>
      </c>
      <c r="C7">
        <v>2</v>
      </c>
      <c r="D7">
        <v>1</v>
      </c>
      <c r="E7">
        <v>232.69011095208899</v>
      </c>
      <c r="F7">
        <v>6.29943846205617E-2</v>
      </c>
      <c r="G7">
        <v>976.11341591881103</v>
      </c>
      <c r="H7">
        <v>395.89550000000003</v>
      </c>
      <c r="I7">
        <v>62.859783845278699</v>
      </c>
      <c r="J7">
        <v>63</v>
      </c>
      <c r="K7">
        <f t="shared" si="0"/>
        <v>6.4636141929326013E-2</v>
      </c>
      <c r="L7">
        <f t="shared" si="1"/>
        <v>1.6326566462444259E-4</v>
      </c>
      <c r="M7">
        <f t="shared" si="2"/>
        <v>0.13061253169955406</v>
      </c>
    </row>
    <row r="8" spans="1:13" x14ac:dyDescent="0.35">
      <c r="A8" t="s">
        <v>12</v>
      </c>
      <c r="B8" t="s">
        <v>11</v>
      </c>
      <c r="C8">
        <v>1</v>
      </c>
      <c r="D8">
        <v>1</v>
      </c>
      <c r="E8">
        <v>47.995919013436499</v>
      </c>
      <c r="F8">
        <v>0.28458849569081501</v>
      </c>
      <c r="G8">
        <v>2162.0383737946399</v>
      </c>
      <c r="H8">
        <v>485.01400000000001</v>
      </c>
      <c r="I8">
        <v>1011.4215767634799</v>
      </c>
      <c r="J8">
        <v>1024</v>
      </c>
      <c r="K8">
        <f t="shared" si="0"/>
        <v>1.333219972558128E-2</v>
      </c>
      <c r="L8">
        <f t="shared" si="1"/>
        <v>2.7488278123067127E-5</v>
      </c>
      <c r="M8">
        <f t="shared" si="2"/>
        <v>2.19906224984537E-2</v>
      </c>
    </row>
    <row r="9" spans="1:13" x14ac:dyDescent="0.35">
      <c r="A9" t="s">
        <v>12</v>
      </c>
      <c r="B9" t="s">
        <v>11</v>
      </c>
      <c r="C9">
        <v>1</v>
      </c>
      <c r="D9">
        <v>1</v>
      </c>
      <c r="E9">
        <v>43.844719961644202</v>
      </c>
      <c r="F9">
        <v>0.296034446317119</v>
      </c>
      <c r="G9">
        <v>2407.6694748087202</v>
      </c>
      <c r="H9">
        <v>485.00599999999997</v>
      </c>
      <c r="I9">
        <v>1253.39461358313</v>
      </c>
      <c r="J9">
        <v>1280</v>
      </c>
      <c r="K9">
        <f t="shared" si="0"/>
        <v>1.2179088877893485E-2</v>
      </c>
      <c r="L9">
        <f t="shared" si="1"/>
        <v>2.5111212805395159E-5</v>
      </c>
      <c r="M9">
        <f t="shared" si="2"/>
        <v>2.0088970244316127E-2</v>
      </c>
    </row>
    <row r="10" spans="1:13" x14ac:dyDescent="0.35">
      <c r="A10" t="s">
        <v>12</v>
      </c>
      <c r="B10" t="s">
        <v>11</v>
      </c>
      <c r="C10">
        <v>1</v>
      </c>
      <c r="D10">
        <v>1</v>
      </c>
      <c r="E10">
        <v>40.393390596959499</v>
      </c>
      <c r="F10">
        <v>0.283983630021095</v>
      </c>
      <c r="G10">
        <v>2662.8889241853399</v>
      </c>
      <c r="H10">
        <v>487.87900000000002</v>
      </c>
      <c r="I10">
        <v>1476.2297551788999</v>
      </c>
      <c r="J10">
        <v>1536</v>
      </c>
      <c r="K10">
        <f t="shared" si="0"/>
        <v>1.1220386276619023E-2</v>
      </c>
      <c r="L10">
        <f t="shared" si="1"/>
        <v>2.2998297275797941E-5</v>
      </c>
      <c r="M10">
        <f t="shared" si="2"/>
        <v>1.8398637820638351E-2</v>
      </c>
    </row>
    <row r="11" spans="1:13" x14ac:dyDescent="0.35">
      <c r="A11" t="s">
        <v>12</v>
      </c>
      <c r="B11" t="s">
        <v>11</v>
      </c>
      <c r="C11">
        <v>1</v>
      </c>
      <c r="D11">
        <v>1</v>
      </c>
      <c r="E11">
        <v>50.91063043151</v>
      </c>
      <c r="F11">
        <v>8.0457573030392401E-2</v>
      </c>
      <c r="G11">
        <v>2162.50558599329</v>
      </c>
      <c r="H11">
        <v>483.9135</v>
      </c>
      <c r="I11">
        <v>191.64400514304</v>
      </c>
      <c r="J11">
        <v>192</v>
      </c>
      <c r="K11">
        <f t="shared" si="0"/>
        <v>1.4141841786134583E-2</v>
      </c>
      <c r="L11">
        <f t="shared" si="1"/>
        <v>2.9223904243495136E-5</v>
      </c>
      <c r="M11">
        <f t="shared" si="2"/>
        <v>2.3379123394796107E-2</v>
      </c>
    </row>
    <row r="12" spans="1:13" x14ac:dyDescent="0.35">
      <c r="A12" t="s">
        <v>12</v>
      </c>
      <c r="B12" t="s">
        <v>11</v>
      </c>
      <c r="C12">
        <v>1</v>
      </c>
      <c r="D12">
        <v>1</v>
      </c>
      <c r="E12">
        <v>49.889784935134998</v>
      </c>
      <c r="F12">
        <v>0.100089270100039</v>
      </c>
      <c r="G12">
        <v>2206.6825325728501</v>
      </c>
      <c r="H12">
        <v>487.29050000000001</v>
      </c>
      <c r="I12">
        <v>255.48707957342</v>
      </c>
      <c r="J12">
        <v>256</v>
      </c>
      <c r="K12">
        <f t="shared" si="0"/>
        <v>1.3858273592705023E-2</v>
      </c>
      <c r="L12">
        <f t="shared" si="1"/>
        <v>2.8439449553613343E-5</v>
      </c>
      <c r="M12">
        <f t="shared" si="2"/>
        <v>2.2751559642890676E-2</v>
      </c>
    </row>
    <row r="13" spans="1:13" x14ac:dyDescent="0.35">
      <c r="A13" t="s">
        <v>12</v>
      </c>
      <c r="B13" t="s">
        <v>11</v>
      </c>
      <c r="C13">
        <v>1</v>
      </c>
      <c r="D13">
        <v>1</v>
      </c>
      <c r="E13">
        <v>49.450133771989101</v>
      </c>
      <c r="F13">
        <v>0.121367288112383</v>
      </c>
      <c r="G13">
        <v>2166.2881025891102</v>
      </c>
      <c r="H13">
        <v>484.57150000000001</v>
      </c>
      <c r="I13">
        <v>319.27288600648501</v>
      </c>
      <c r="J13">
        <v>320</v>
      </c>
      <c r="K13">
        <f t="shared" si="0"/>
        <v>1.373614826961236E-2</v>
      </c>
      <c r="L13">
        <f t="shared" si="1"/>
        <v>2.8346999915621039E-5</v>
      </c>
      <c r="M13">
        <f t="shared" si="2"/>
        <v>2.2677599932496833E-2</v>
      </c>
    </row>
    <row r="14" spans="1:13" x14ac:dyDescent="0.35">
      <c r="A14" t="s">
        <v>12</v>
      </c>
      <c r="B14" t="s">
        <v>11</v>
      </c>
      <c r="C14">
        <v>1</v>
      </c>
      <c r="D14">
        <v>1</v>
      </c>
      <c r="E14">
        <v>48.809442261263797</v>
      </c>
      <c r="F14">
        <v>0.17639706293309401</v>
      </c>
      <c r="G14">
        <v>2183.0718496438099</v>
      </c>
      <c r="H14">
        <v>488.10950000000003</v>
      </c>
      <c r="I14">
        <v>510.09027777777698</v>
      </c>
      <c r="J14">
        <v>512</v>
      </c>
      <c r="K14">
        <f t="shared" si="0"/>
        <v>1.3558178405526981E-2</v>
      </c>
      <c r="L14">
        <f t="shared" si="1"/>
        <v>2.7776919739376063E-5</v>
      </c>
      <c r="M14">
        <f t="shared" si="2"/>
        <v>2.2221535791500852E-2</v>
      </c>
    </row>
    <row r="15" spans="1:13" x14ac:dyDescent="0.35">
      <c r="A15" t="s">
        <v>12</v>
      </c>
      <c r="B15" t="s">
        <v>11</v>
      </c>
      <c r="C15">
        <v>1</v>
      </c>
      <c r="D15">
        <v>1</v>
      </c>
      <c r="E15">
        <v>48.827372379097397</v>
      </c>
      <c r="F15">
        <v>0.23848982454211501</v>
      </c>
      <c r="G15">
        <v>2133.9868744067999</v>
      </c>
      <c r="H15">
        <v>481.76499999999999</v>
      </c>
      <c r="I15">
        <v>762.60735826296695</v>
      </c>
      <c r="J15">
        <v>768</v>
      </c>
      <c r="K15">
        <f t="shared" si="0"/>
        <v>1.3563158993813952E-2</v>
      </c>
      <c r="L15">
        <f t="shared" si="1"/>
        <v>2.8153060089076526E-5</v>
      </c>
      <c r="M15">
        <f t="shared" si="2"/>
        <v>2.252244807126122E-2</v>
      </c>
    </row>
    <row r="16" spans="1:13" x14ac:dyDescent="0.35">
      <c r="A16" t="s">
        <v>13</v>
      </c>
      <c r="B16" t="s">
        <v>11</v>
      </c>
      <c r="C16">
        <v>1</v>
      </c>
      <c r="D16">
        <v>1</v>
      </c>
      <c r="E16">
        <v>72.224082802405704</v>
      </c>
      <c r="F16">
        <v>7.9902244456766205E-2</v>
      </c>
      <c r="G16">
        <v>1477.1702091812999</v>
      </c>
      <c r="H16">
        <v>377.97649999999999</v>
      </c>
      <c r="I16">
        <v>127.714070006863</v>
      </c>
      <c r="J16">
        <v>128</v>
      </c>
      <c r="K16">
        <f t="shared" si="0"/>
        <v>2.0062245222328728E-2</v>
      </c>
      <c r="L16">
        <f t="shared" si="1"/>
        <v>5.3078022634551957E-5</v>
      </c>
      <c r="M16">
        <f t="shared" si="2"/>
        <v>4.2462418107641564E-2</v>
      </c>
    </row>
    <row r="17" spans="1:15" x14ac:dyDescent="0.35">
      <c r="A17" t="s">
        <v>13</v>
      </c>
      <c r="B17" t="s">
        <v>11</v>
      </c>
      <c r="C17">
        <v>1</v>
      </c>
      <c r="D17">
        <v>1</v>
      </c>
      <c r="E17">
        <v>68.116004309164296</v>
      </c>
      <c r="F17">
        <v>0.11174841564235501</v>
      </c>
      <c r="G17">
        <v>1565.4920370966499</v>
      </c>
      <c r="H17">
        <v>381.66849999999999</v>
      </c>
      <c r="I17">
        <v>191.559005013497</v>
      </c>
      <c r="J17">
        <v>192</v>
      </c>
      <c r="K17">
        <f t="shared" si="0"/>
        <v>1.8921112307571403E-2</v>
      </c>
      <c r="L17">
        <f t="shared" si="1"/>
        <v>4.9574728612844399E-5</v>
      </c>
      <c r="M17">
        <f t="shared" si="2"/>
        <v>3.9659782890275518E-2</v>
      </c>
    </row>
    <row r="18" spans="1:15" x14ac:dyDescent="0.35">
      <c r="A18" t="s">
        <v>13</v>
      </c>
      <c r="B18" t="s">
        <v>11</v>
      </c>
      <c r="C18">
        <v>1</v>
      </c>
      <c r="D18">
        <v>1</v>
      </c>
      <c r="E18">
        <v>63.738593156362903</v>
      </c>
      <c r="F18">
        <v>0.126694530267078</v>
      </c>
      <c r="G18">
        <v>1682.4984819715701</v>
      </c>
      <c r="H18">
        <v>380.85149999999999</v>
      </c>
      <c r="I18">
        <v>255.379498634897</v>
      </c>
      <c r="J18">
        <v>256</v>
      </c>
      <c r="K18">
        <f t="shared" si="0"/>
        <v>1.7705164765160618E-2</v>
      </c>
      <c r="L18">
        <f t="shared" si="1"/>
        <v>4.6488368209553118E-5</v>
      </c>
      <c r="M18">
        <f t="shared" si="2"/>
        <v>3.7190694567642492E-2</v>
      </c>
    </row>
    <row r="19" spans="1:15" x14ac:dyDescent="0.35">
      <c r="A19" t="s">
        <v>13</v>
      </c>
      <c r="B19" t="s">
        <v>11</v>
      </c>
      <c r="C19">
        <v>1</v>
      </c>
      <c r="D19">
        <v>1</v>
      </c>
      <c r="E19">
        <v>61.348896654373299</v>
      </c>
      <c r="F19">
        <v>0.14132761763505899</v>
      </c>
      <c r="G19">
        <v>1791.0729957696899</v>
      </c>
      <c r="H19">
        <v>381.25200000000001</v>
      </c>
      <c r="I19">
        <v>319.130711043872</v>
      </c>
      <c r="J19">
        <v>320</v>
      </c>
      <c r="K19">
        <f t="shared" si="0"/>
        <v>1.7041360181293201E-2</v>
      </c>
      <c r="L19">
        <f t="shared" si="1"/>
        <v>4.4698415172361589E-5</v>
      </c>
      <c r="M19">
        <f t="shared" si="2"/>
        <v>3.5758732137889271E-2</v>
      </c>
    </row>
    <row r="20" spans="1:15" x14ac:dyDescent="0.35">
      <c r="A20" t="s">
        <v>13</v>
      </c>
      <c r="B20" t="s">
        <v>11</v>
      </c>
      <c r="C20">
        <v>1</v>
      </c>
      <c r="D20">
        <v>1</v>
      </c>
      <c r="E20">
        <v>89.025306628928703</v>
      </c>
      <c r="F20">
        <v>5.0052269896608603E-2</v>
      </c>
      <c r="G20">
        <v>1241.81324479214</v>
      </c>
      <c r="H20">
        <v>382.10399999999998</v>
      </c>
      <c r="I20">
        <v>63.853757867456402</v>
      </c>
      <c r="J20">
        <v>64</v>
      </c>
      <c r="K20">
        <f t="shared" si="0"/>
        <v>2.4729251840676664E-2</v>
      </c>
      <c r="L20">
        <f t="shared" si="1"/>
        <v>6.4718641628134398E-5</v>
      </c>
      <c r="M20">
        <f t="shared" si="2"/>
        <v>5.1774913302507518E-2</v>
      </c>
    </row>
    <row r="21" spans="1:15" x14ac:dyDescent="0.35">
      <c r="A21" t="s">
        <v>14</v>
      </c>
      <c r="B21" t="s">
        <v>11</v>
      </c>
      <c r="C21">
        <v>8</v>
      </c>
      <c r="D21">
        <v>2</v>
      </c>
      <c r="E21">
        <v>2178.2187007706798</v>
      </c>
      <c r="F21">
        <v>0.21573682973283601</v>
      </c>
      <c r="G21">
        <v>916.86277975802</v>
      </c>
      <c r="H21">
        <v>451.46800000000002</v>
      </c>
      <c r="I21">
        <v>254.92888243831601</v>
      </c>
      <c r="J21">
        <v>256</v>
      </c>
      <c r="K21">
        <f t="shared" si="0"/>
        <v>0.60506075019713601</v>
      </c>
      <c r="L21">
        <f t="shared" si="1"/>
        <v>1.3402073905506835E-3</v>
      </c>
      <c r="M21">
        <f t="shared" si="2"/>
        <v>1.0721659124405469</v>
      </c>
    </row>
    <row r="22" spans="1:15" x14ac:dyDescent="0.35">
      <c r="A22" t="s">
        <v>14</v>
      </c>
      <c r="B22" t="s">
        <v>11</v>
      </c>
      <c r="C22">
        <v>8</v>
      </c>
      <c r="D22">
        <v>2</v>
      </c>
      <c r="E22">
        <v>1925.13197501438</v>
      </c>
      <c r="F22">
        <v>0.26644035809150701</v>
      </c>
      <c r="G22">
        <v>1097.04531737661</v>
      </c>
      <c r="H22">
        <v>453.34300000000002</v>
      </c>
      <c r="I22">
        <v>381.241093620546</v>
      </c>
      <c r="J22">
        <v>384</v>
      </c>
      <c r="K22">
        <f t="shared" si="0"/>
        <v>0.53475888193346566</v>
      </c>
      <c r="L22">
        <f t="shared" si="1"/>
        <v>1.1795900277129362E-3</v>
      </c>
      <c r="M22">
        <f t="shared" si="2"/>
        <v>0.94367202217034896</v>
      </c>
    </row>
    <row r="23" spans="1:15" x14ac:dyDescent="0.35">
      <c r="A23" t="s">
        <v>14</v>
      </c>
      <c r="B23" t="s">
        <v>11</v>
      </c>
      <c r="C23">
        <v>8</v>
      </c>
      <c r="D23">
        <v>2</v>
      </c>
      <c r="E23">
        <v>1759.7485814818599</v>
      </c>
      <c r="F23">
        <v>0.30305585342227398</v>
      </c>
      <c r="G23">
        <v>1114.9505930760099</v>
      </c>
      <c r="H23">
        <v>452.92899999999997</v>
      </c>
      <c r="I23">
        <v>508.74566831683097</v>
      </c>
      <c r="J23">
        <v>512</v>
      </c>
      <c r="K23">
        <f t="shared" si="0"/>
        <v>0.48881905039794077</v>
      </c>
      <c r="L23">
        <f t="shared" si="1"/>
        <v>1.0792399038214396E-3</v>
      </c>
      <c r="M23">
        <f t="shared" si="2"/>
        <v>0.86339192305715173</v>
      </c>
    </row>
    <row r="24" spans="1:15" x14ac:dyDescent="0.35">
      <c r="A24" t="s">
        <v>14</v>
      </c>
      <c r="B24" t="s">
        <v>11</v>
      </c>
      <c r="C24">
        <v>8</v>
      </c>
      <c r="D24">
        <v>2</v>
      </c>
      <c r="E24">
        <v>1737.30342786302</v>
      </c>
      <c r="F24">
        <v>0.32418609206438598</v>
      </c>
      <c r="G24">
        <v>1195.83295999591</v>
      </c>
      <c r="H24">
        <v>456.36</v>
      </c>
      <c r="I24">
        <v>634.30643776824002</v>
      </c>
      <c r="J24">
        <v>640</v>
      </c>
      <c r="K24">
        <f t="shared" si="0"/>
        <v>0.48258428550399318</v>
      </c>
      <c r="L24">
        <f t="shared" si="1"/>
        <v>1.0574640316942615E-3</v>
      </c>
      <c r="M24">
        <f t="shared" si="2"/>
        <v>0.84597122535540925</v>
      </c>
    </row>
    <row r="25" spans="1:15" ht="15" x14ac:dyDescent="0.4">
      <c r="A25" t="s">
        <v>14</v>
      </c>
      <c r="B25" t="s">
        <v>11</v>
      </c>
      <c r="C25">
        <v>8</v>
      </c>
      <c r="D25">
        <v>2</v>
      </c>
      <c r="E25">
        <v>1581.7762011216701</v>
      </c>
      <c r="F25">
        <v>0.403727625632545</v>
      </c>
      <c r="G25">
        <v>1372.7703027264899</v>
      </c>
      <c r="H25">
        <v>458.21199999999999</v>
      </c>
      <c r="I25">
        <v>1009.23867595818</v>
      </c>
      <c r="J25">
        <v>1024</v>
      </c>
      <c r="K25">
        <f t="shared" si="0"/>
        <v>0.43938227807705005</v>
      </c>
      <c r="L25">
        <f t="shared" si="1"/>
        <v>9.5890609167164991E-4</v>
      </c>
      <c r="M25">
        <f t="shared" si="2"/>
        <v>0.76712487333731993</v>
      </c>
      <c r="O25" s="1" t="s">
        <v>28</v>
      </c>
    </row>
    <row r="26" spans="1:15" x14ac:dyDescent="0.35">
      <c r="A26" t="s">
        <v>14</v>
      </c>
      <c r="B26" t="s">
        <v>11</v>
      </c>
      <c r="C26">
        <v>8</v>
      </c>
      <c r="D26">
        <v>2</v>
      </c>
      <c r="E26">
        <v>3352.9224612000098</v>
      </c>
      <c r="F26">
        <v>0.199535764745917</v>
      </c>
      <c r="G26">
        <v>579.62885952231795</v>
      </c>
      <c r="H26">
        <v>449.80399999999997</v>
      </c>
      <c r="I26">
        <v>127.413692217671</v>
      </c>
      <c r="J26">
        <v>128</v>
      </c>
      <c r="K26">
        <f t="shared" si="0"/>
        <v>0.9313673503072577</v>
      </c>
      <c r="L26">
        <f t="shared" si="1"/>
        <v>2.0706070873252745E-3</v>
      </c>
      <c r="M26">
        <f t="shared" si="2"/>
        <v>1.6564856698602197</v>
      </c>
      <c r="O26">
        <f>L26*2*365</f>
        <v>1.5115431737474505</v>
      </c>
    </row>
    <row r="27" spans="1:15" x14ac:dyDescent="0.35">
      <c r="A27" t="s">
        <v>15</v>
      </c>
      <c r="B27" t="s">
        <v>11</v>
      </c>
      <c r="C27">
        <v>4</v>
      </c>
      <c r="D27">
        <v>1</v>
      </c>
      <c r="E27">
        <v>281.60709016725002</v>
      </c>
      <c r="F27">
        <v>0.26788781454045302</v>
      </c>
      <c r="G27">
        <v>1923.28520921883</v>
      </c>
      <c r="H27">
        <v>455.52466666666601</v>
      </c>
      <c r="I27">
        <v>974.37324840764302</v>
      </c>
      <c r="J27">
        <v>1024</v>
      </c>
      <c r="K27">
        <f t="shared" si="0"/>
        <v>7.8224191710934726E-2</v>
      </c>
      <c r="L27">
        <f t="shared" si="1"/>
        <v>1.7172328401740742E-4</v>
      </c>
      <c r="M27">
        <f t="shared" si="2"/>
        <v>0.13737862721392594</v>
      </c>
    </row>
    <row r="28" spans="1:15" x14ac:dyDescent="0.35">
      <c r="A28" t="s">
        <v>15</v>
      </c>
      <c r="B28" t="s">
        <v>11</v>
      </c>
      <c r="C28">
        <v>4</v>
      </c>
      <c r="D28">
        <v>1</v>
      </c>
      <c r="E28">
        <v>443.210865847783</v>
      </c>
      <c r="F28">
        <v>0.100709254368149</v>
      </c>
      <c r="G28">
        <v>1158.95590214138</v>
      </c>
      <c r="H28">
        <v>462.21199999999999</v>
      </c>
      <c r="I28">
        <v>127.73486890468</v>
      </c>
      <c r="J28">
        <v>128</v>
      </c>
      <c r="K28">
        <f t="shared" si="0"/>
        <v>0.12311412939871474</v>
      </c>
      <c r="L28">
        <f t="shared" si="1"/>
        <v>2.6635857441761516E-4</v>
      </c>
      <c r="M28">
        <f t="shared" si="2"/>
        <v>0.21308685953409212</v>
      </c>
    </row>
    <row r="29" spans="1:15" x14ac:dyDescent="0.35">
      <c r="A29" t="s">
        <v>15</v>
      </c>
      <c r="B29" t="s">
        <v>11</v>
      </c>
      <c r="C29">
        <v>4</v>
      </c>
      <c r="D29">
        <v>1</v>
      </c>
      <c r="E29">
        <v>382.954762856402</v>
      </c>
      <c r="F29">
        <v>0.11772404553558501</v>
      </c>
      <c r="G29">
        <v>1390.79187112672</v>
      </c>
      <c r="H29">
        <v>458.78800000000001</v>
      </c>
      <c r="I29">
        <v>191.51305293690999</v>
      </c>
      <c r="J29">
        <v>192</v>
      </c>
      <c r="K29">
        <f t="shared" si="0"/>
        <v>0.10637632301268868</v>
      </c>
      <c r="L29">
        <f t="shared" si="1"/>
        <v>2.3186378678755477E-4</v>
      </c>
      <c r="M29">
        <f t="shared" si="2"/>
        <v>0.18549102943004381</v>
      </c>
    </row>
    <row r="30" spans="1:15" x14ac:dyDescent="0.35">
      <c r="A30" t="s">
        <v>15</v>
      </c>
      <c r="B30" t="s">
        <v>11</v>
      </c>
      <c r="C30">
        <v>4</v>
      </c>
      <c r="D30">
        <v>1</v>
      </c>
      <c r="E30">
        <v>354.309819171421</v>
      </c>
      <c r="F30">
        <v>0.137859442357679</v>
      </c>
      <c r="G30">
        <v>1463.72546757533</v>
      </c>
      <c r="H30">
        <v>457.70299999999997</v>
      </c>
      <c r="I30">
        <v>255.17655713585</v>
      </c>
      <c r="J30">
        <v>256</v>
      </c>
      <c r="K30">
        <f t="shared" si="0"/>
        <v>9.8419394211527858E-2</v>
      </c>
      <c r="L30">
        <f t="shared" si="1"/>
        <v>2.1502894718087464E-4</v>
      </c>
      <c r="M30">
        <f t="shared" si="2"/>
        <v>0.1720231577446997</v>
      </c>
    </row>
    <row r="31" spans="1:15" x14ac:dyDescent="0.35">
      <c r="A31" t="s">
        <v>15</v>
      </c>
      <c r="B31" t="s">
        <v>11</v>
      </c>
      <c r="C31">
        <v>4</v>
      </c>
      <c r="D31">
        <v>1</v>
      </c>
      <c r="E31">
        <v>341.61858605507001</v>
      </c>
      <c r="F31">
        <v>0.15023724554677101</v>
      </c>
      <c r="G31">
        <v>1548.61835927779</v>
      </c>
      <c r="H31">
        <v>458.80099999999999</v>
      </c>
      <c r="I31">
        <v>318.72716199756297</v>
      </c>
      <c r="J31">
        <v>320</v>
      </c>
      <c r="K31">
        <f t="shared" si="0"/>
        <v>9.4894051679306854E-2</v>
      </c>
      <c r="L31">
        <f t="shared" si="1"/>
        <v>2.0683052495375304E-4</v>
      </c>
      <c r="M31">
        <f t="shared" si="2"/>
        <v>0.16546441996300243</v>
      </c>
    </row>
    <row r="32" spans="1:15" x14ac:dyDescent="0.35">
      <c r="A32" t="s">
        <v>15</v>
      </c>
      <c r="B32" t="s">
        <v>11</v>
      </c>
      <c r="C32">
        <v>4</v>
      </c>
      <c r="D32">
        <v>1</v>
      </c>
      <c r="E32">
        <v>306.963216366349</v>
      </c>
      <c r="F32">
        <v>0.18104039836121899</v>
      </c>
      <c r="G32">
        <v>1664.6468427423299</v>
      </c>
      <c r="H32">
        <v>451.762</v>
      </c>
      <c r="I32">
        <v>507.39371727748602</v>
      </c>
      <c r="J32">
        <v>512</v>
      </c>
      <c r="K32">
        <f t="shared" si="0"/>
        <v>8.5267560099376111E-2</v>
      </c>
      <c r="L32">
        <f t="shared" si="1"/>
        <v>1.8874442759545096E-4</v>
      </c>
      <c r="M32">
        <f t="shared" si="2"/>
        <v>0.15099554207636076</v>
      </c>
    </row>
    <row r="33" spans="1:13" x14ac:dyDescent="0.35">
      <c r="A33" t="s">
        <v>15</v>
      </c>
      <c r="B33" t="s">
        <v>11</v>
      </c>
      <c r="C33">
        <v>4</v>
      </c>
      <c r="D33">
        <v>1</v>
      </c>
      <c r="E33">
        <v>605.47836260592896</v>
      </c>
      <c r="F33">
        <v>7.6769915501367095E-2</v>
      </c>
      <c r="G33">
        <v>811.45186010024599</v>
      </c>
      <c r="H33">
        <v>461.24599999999998</v>
      </c>
      <c r="I33">
        <v>63.876168523498499</v>
      </c>
      <c r="J33">
        <v>64</v>
      </c>
      <c r="K33">
        <f t="shared" si="0"/>
        <v>0.1681884340524932</v>
      </c>
      <c r="L33">
        <f t="shared" si="1"/>
        <v>3.6463933357144173E-4</v>
      </c>
      <c r="M33">
        <f t="shared" si="2"/>
        <v>0.29171146685715338</v>
      </c>
    </row>
    <row r="34" spans="1:13" x14ac:dyDescent="0.35">
      <c r="A34" t="s">
        <v>15</v>
      </c>
      <c r="B34" t="s">
        <v>11</v>
      </c>
      <c r="C34">
        <v>4</v>
      </c>
      <c r="D34">
        <v>1</v>
      </c>
      <c r="E34">
        <v>322.06876434615998</v>
      </c>
      <c r="F34">
        <v>0.24247338974221799</v>
      </c>
      <c r="G34">
        <v>1680.03191786445</v>
      </c>
      <c r="H34">
        <v>453.60599999999999</v>
      </c>
      <c r="I34">
        <v>746.18264840182599</v>
      </c>
      <c r="J34">
        <v>768</v>
      </c>
      <c r="K34">
        <f t="shared" si="0"/>
        <v>8.9463545649206125E-2</v>
      </c>
      <c r="L34">
        <f t="shared" si="1"/>
        <v>1.9722743008074436E-4</v>
      </c>
      <c r="M34">
        <f t="shared" si="2"/>
        <v>0.1577819440645955</v>
      </c>
    </row>
    <row r="35" spans="1:13" x14ac:dyDescent="0.35">
      <c r="A35" t="s">
        <v>16</v>
      </c>
      <c r="B35" t="s">
        <v>11</v>
      </c>
      <c r="C35">
        <v>1</v>
      </c>
      <c r="D35">
        <v>1</v>
      </c>
      <c r="E35">
        <v>53.931404195254203</v>
      </c>
      <c r="F35">
        <v>0.27897055166793699</v>
      </c>
      <c r="G35">
        <v>2177.6859839035301</v>
      </c>
      <c r="H35">
        <v>482.11599999999999</v>
      </c>
      <c r="I35">
        <v>975.74254742547396</v>
      </c>
      <c r="J35">
        <v>1024</v>
      </c>
      <c r="K35">
        <f t="shared" si="0"/>
        <v>1.4980945609373367E-2</v>
      </c>
      <c r="L35">
        <f t="shared" si="1"/>
        <v>3.1073321792625355E-5</v>
      </c>
      <c r="M35">
        <f t="shared" si="2"/>
        <v>2.4858657434100283E-2</v>
      </c>
    </row>
    <row r="36" spans="1:13" x14ac:dyDescent="0.35">
      <c r="A36" t="s">
        <v>16</v>
      </c>
      <c r="B36" t="s">
        <v>11</v>
      </c>
      <c r="C36">
        <v>1</v>
      </c>
      <c r="D36">
        <v>1</v>
      </c>
      <c r="E36">
        <v>63.122728432700498</v>
      </c>
      <c r="F36">
        <v>5.6651204094629801E-2</v>
      </c>
      <c r="G36">
        <v>2152.51572197425</v>
      </c>
      <c r="H36">
        <v>483.13499999999999</v>
      </c>
      <c r="I36">
        <v>127.766961982729</v>
      </c>
      <c r="J36">
        <v>128</v>
      </c>
      <c r="K36">
        <f t="shared" si="0"/>
        <v>1.7534091230814737E-2</v>
      </c>
      <c r="L36">
        <f t="shared" si="1"/>
        <v>3.6292322499538926E-5</v>
      </c>
      <c r="M36">
        <f t="shared" si="2"/>
        <v>2.9033857999631141E-2</v>
      </c>
    </row>
    <row r="37" spans="1:13" x14ac:dyDescent="0.35">
      <c r="A37" t="s">
        <v>16</v>
      </c>
      <c r="B37" t="s">
        <v>11</v>
      </c>
      <c r="C37">
        <v>1</v>
      </c>
      <c r="D37">
        <v>1</v>
      </c>
      <c r="E37">
        <v>57.386763351488199</v>
      </c>
      <c r="F37">
        <v>6.9950942633500005E-2</v>
      </c>
      <c r="G37">
        <v>2474.6198261938498</v>
      </c>
      <c r="H37">
        <v>483.03300000000002</v>
      </c>
      <c r="I37">
        <v>191.62453651458901</v>
      </c>
      <c r="J37">
        <v>192</v>
      </c>
      <c r="K37">
        <f t="shared" si="0"/>
        <v>1.5940767597189268E-2</v>
      </c>
      <c r="L37">
        <f t="shared" si="1"/>
        <v>3.3001404867140069E-5</v>
      </c>
      <c r="M37">
        <f t="shared" si="2"/>
        <v>2.6401123893712054E-2</v>
      </c>
    </row>
    <row r="38" spans="1:13" x14ac:dyDescent="0.35">
      <c r="A38" t="s">
        <v>16</v>
      </c>
      <c r="B38" t="s">
        <v>11</v>
      </c>
      <c r="C38">
        <v>1</v>
      </c>
      <c r="D38">
        <v>1</v>
      </c>
      <c r="E38">
        <v>58.203251525659198</v>
      </c>
      <c r="F38">
        <v>9.7113123408543001E-2</v>
      </c>
      <c r="G38">
        <v>2289.1427192562701</v>
      </c>
      <c r="H38">
        <v>482.82049999999998</v>
      </c>
      <c r="I38">
        <v>255.44093834336701</v>
      </c>
      <c r="J38">
        <v>256</v>
      </c>
      <c r="K38">
        <f t="shared" si="0"/>
        <v>1.6167569867785975E-2</v>
      </c>
      <c r="L38">
        <f t="shared" si="1"/>
        <v>3.3485674008841742E-5</v>
      </c>
      <c r="M38">
        <f t="shared" si="2"/>
        <v>2.6788539207073393E-2</v>
      </c>
    </row>
    <row r="39" spans="1:13" x14ac:dyDescent="0.35">
      <c r="A39" t="s">
        <v>16</v>
      </c>
      <c r="B39" t="s">
        <v>11</v>
      </c>
      <c r="C39">
        <v>1</v>
      </c>
      <c r="D39">
        <v>1</v>
      </c>
      <c r="E39">
        <v>56.598480841110202</v>
      </c>
      <c r="F39">
        <v>0.116085706495709</v>
      </c>
      <c r="G39">
        <v>2342.5601044485602</v>
      </c>
      <c r="H39">
        <v>483.51949999999999</v>
      </c>
      <c r="I39">
        <v>319.18683812405402</v>
      </c>
      <c r="J39">
        <v>320</v>
      </c>
      <c r="K39">
        <f t="shared" si="0"/>
        <v>1.5721800233201511E-2</v>
      </c>
      <c r="L39">
        <f t="shared" si="1"/>
        <v>3.2515338540020645E-5</v>
      </c>
      <c r="M39">
        <f t="shared" si="2"/>
        <v>2.6012270832016515E-2</v>
      </c>
    </row>
    <row r="40" spans="1:13" x14ac:dyDescent="0.35">
      <c r="A40" t="s">
        <v>16</v>
      </c>
      <c r="B40" t="s">
        <v>11</v>
      </c>
      <c r="C40">
        <v>1</v>
      </c>
      <c r="D40">
        <v>1</v>
      </c>
      <c r="E40">
        <v>58.485565968191203</v>
      </c>
      <c r="F40">
        <v>0.186272725466163</v>
      </c>
      <c r="G40">
        <v>2022.0482759906399</v>
      </c>
      <c r="H40">
        <v>481.27300000000002</v>
      </c>
      <c r="I40">
        <v>509.83740157480298</v>
      </c>
      <c r="J40">
        <v>512</v>
      </c>
      <c r="K40">
        <f t="shared" si="0"/>
        <v>1.6245990546264889E-2</v>
      </c>
      <c r="L40">
        <f t="shared" si="1"/>
        <v>3.3756289146211999E-5</v>
      </c>
      <c r="M40">
        <f t="shared" si="2"/>
        <v>2.7005031316969599E-2</v>
      </c>
    </row>
    <row r="41" spans="1:13" x14ac:dyDescent="0.35">
      <c r="A41" t="s">
        <v>16</v>
      </c>
      <c r="B41" t="s">
        <v>11</v>
      </c>
      <c r="C41">
        <v>1</v>
      </c>
      <c r="D41">
        <v>1</v>
      </c>
      <c r="E41">
        <v>82.585816923745398</v>
      </c>
      <c r="F41">
        <v>3.5054611482442301E-2</v>
      </c>
      <c r="G41">
        <v>1784.71867372166</v>
      </c>
      <c r="H41">
        <v>482.798</v>
      </c>
      <c r="I41">
        <v>63.880243858272401</v>
      </c>
      <c r="J41">
        <v>64</v>
      </c>
      <c r="K41">
        <f t="shared" si="0"/>
        <v>2.2940504700398053E-2</v>
      </c>
      <c r="L41">
        <f t="shared" si="1"/>
        <v>4.7515740952526841E-5</v>
      </c>
      <c r="M41">
        <f t="shared" si="2"/>
        <v>3.8012592762021472E-2</v>
      </c>
    </row>
    <row r="42" spans="1:13" x14ac:dyDescent="0.35">
      <c r="A42" t="s">
        <v>16</v>
      </c>
      <c r="B42" t="s">
        <v>11</v>
      </c>
      <c r="C42">
        <v>1</v>
      </c>
      <c r="D42">
        <v>1</v>
      </c>
      <c r="E42">
        <v>55.769621320095901</v>
      </c>
      <c r="F42">
        <v>0.23172307257344599</v>
      </c>
      <c r="G42">
        <v>2176.7455002491101</v>
      </c>
      <c r="H42">
        <v>482.98050000000001</v>
      </c>
      <c r="I42">
        <v>761.74821852731498</v>
      </c>
      <c r="J42">
        <v>768</v>
      </c>
      <c r="K42">
        <f t="shared" si="0"/>
        <v>1.5491561477370653E-2</v>
      </c>
      <c r="L42">
        <f t="shared" si="1"/>
        <v>3.2074921197378888E-5</v>
      </c>
      <c r="M42">
        <f t="shared" si="2"/>
        <v>2.5659936957903109E-2</v>
      </c>
    </row>
    <row r="43" spans="1:13" x14ac:dyDescent="0.35">
      <c r="A43" t="s">
        <v>17</v>
      </c>
      <c r="B43" t="s">
        <v>11</v>
      </c>
      <c r="C43">
        <v>1</v>
      </c>
      <c r="D43">
        <v>1</v>
      </c>
      <c r="E43">
        <v>93.801476849585299</v>
      </c>
      <c r="F43">
        <v>6.8347927140088305E-2</v>
      </c>
      <c r="G43">
        <v>1749.94226297418</v>
      </c>
      <c r="H43">
        <v>471.78050000000002</v>
      </c>
      <c r="I43">
        <v>127.76563573883099</v>
      </c>
      <c r="J43">
        <v>128</v>
      </c>
      <c r="K43">
        <f t="shared" si="0"/>
        <v>2.6055965790821905E-2</v>
      </c>
      <c r="L43">
        <f t="shared" si="1"/>
        <v>5.522900117919648E-5</v>
      </c>
      <c r="M43">
        <f t="shared" si="2"/>
        <v>4.4183200943357183E-2</v>
      </c>
    </row>
    <row r="44" spans="1:13" x14ac:dyDescent="0.35">
      <c r="A44" t="s">
        <v>17</v>
      </c>
      <c r="B44" t="s">
        <v>11</v>
      </c>
      <c r="C44">
        <v>1</v>
      </c>
      <c r="D44">
        <v>1</v>
      </c>
      <c r="E44">
        <v>88.728117111100104</v>
      </c>
      <c r="F44">
        <v>9.4765356745153503E-2</v>
      </c>
      <c r="G44">
        <v>1821.18421924309</v>
      </c>
      <c r="H44">
        <v>468.87900000000002</v>
      </c>
      <c r="I44">
        <v>191.630313930673</v>
      </c>
      <c r="J44">
        <v>192</v>
      </c>
      <c r="K44">
        <f t="shared" si="0"/>
        <v>2.4646699196837697E-2</v>
      </c>
      <c r="L44">
        <f t="shared" si="1"/>
        <v>5.2565159021491039E-5</v>
      </c>
      <c r="M44">
        <f t="shared" si="2"/>
        <v>4.2052127217192828E-2</v>
      </c>
    </row>
    <row r="45" spans="1:13" x14ac:dyDescent="0.35">
      <c r="A45" t="s">
        <v>17</v>
      </c>
      <c r="B45" t="s">
        <v>11</v>
      </c>
      <c r="C45">
        <v>1</v>
      </c>
      <c r="D45">
        <v>1</v>
      </c>
      <c r="E45">
        <v>85.712384403168002</v>
      </c>
      <c r="F45">
        <v>0.12237111864542401</v>
      </c>
      <c r="G45">
        <v>1819.44858321172</v>
      </c>
      <c r="H45">
        <v>473.15750000000003</v>
      </c>
      <c r="I45">
        <v>255.46645702306</v>
      </c>
      <c r="J45">
        <v>256</v>
      </c>
      <c r="K45">
        <f t="shared" si="0"/>
        <v>2.3808995666880012E-2</v>
      </c>
      <c r="L45">
        <f t="shared" si="1"/>
        <v>5.0319387660303412E-5</v>
      </c>
      <c r="M45">
        <f t="shared" si="2"/>
        <v>4.025551012824273E-2</v>
      </c>
    </row>
    <row r="46" spans="1:13" x14ac:dyDescent="0.35">
      <c r="A46" t="s">
        <v>17</v>
      </c>
      <c r="B46" t="s">
        <v>11</v>
      </c>
      <c r="C46">
        <v>1</v>
      </c>
      <c r="D46">
        <v>1</v>
      </c>
      <c r="E46">
        <v>85.268077923093102</v>
      </c>
      <c r="F46">
        <v>0.150762360770272</v>
      </c>
      <c r="G46">
        <v>1763.2963508059199</v>
      </c>
      <c r="H46">
        <v>468.34199999999998</v>
      </c>
      <c r="I46">
        <v>319.24206451612901</v>
      </c>
      <c r="J46">
        <v>320</v>
      </c>
      <c r="K46">
        <f t="shared" si="0"/>
        <v>2.3685577200195998E-2</v>
      </c>
      <c r="L46">
        <f t="shared" si="1"/>
        <v>5.057325031749448E-5</v>
      </c>
      <c r="M46">
        <f t="shared" si="2"/>
        <v>4.0458600253995586E-2</v>
      </c>
    </row>
    <row r="47" spans="1:13" x14ac:dyDescent="0.35">
      <c r="A47" t="s">
        <v>17</v>
      </c>
      <c r="B47" t="s">
        <v>11</v>
      </c>
      <c r="C47">
        <v>1</v>
      </c>
      <c r="D47">
        <v>1</v>
      </c>
      <c r="E47">
        <v>84.228366562251395</v>
      </c>
      <c r="F47">
        <v>0.226634185531152</v>
      </c>
      <c r="G47">
        <v>1673.0480388800499</v>
      </c>
      <c r="H47">
        <v>470.88200000000001</v>
      </c>
      <c r="I47">
        <v>509.83722772277201</v>
      </c>
      <c r="J47">
        <v>512</v>
      </c>
      <c r="K47">
        <f t="shared" si="0"/>
        <v>2.3396768488859167E-2</v>
      </c>
      <c r="L47">
        <f t="shared" si="1"/>
        <v>4.9687115856752151E-5</v>
      </c>
      <c r="M47">
        <f t="shared" si="2"/>
        <v>3.9749692685401718E-2</v>
      </c>
    </row>
    <row r="48" spans="1:13" x14ac:dyDescent="0.35">
      <c r="A48" t="s">
        <v>17</v>
      </c>
      <c r="B48" t="s">
        <v>11</v>
      </c>
      <c r="C48">
        <v>1</v>
      </c>
      <c r="D48">
        <v>1</v>
      </c>
      <c r="E48">
        <v>116.720934079627</v>
      </c>
      <c r="F48">
        <v>4.34570115196138E-2</v>
      </c>
      <c r="G48">
        <v>1438.3378839748</v>
      </c>
      <c r="H48">
        <v>468.80849999999998</v>
      </c>
      <c r="I48">
        <v>63.877128878429403</v>
      </c>
      <c r="J48">
        <v>64</v>
      </c>
      <c r="K48">
        <f t="shared" si="0"/>
        <v>3.2422481687877445E-2</v>
      </c>
      <c r="L48">
        <f t="shared" si="1"/>
        <v>6.9159329849773302E-5</v>
      </c>
      <c r="M48">
        <f t="shared" si="2"/>
        <v>5.5327463879818642E-2</v>
      </c>
    </row>
    <row r="49" spans="1:13" x14ac:dyDescent="0.35">
      <c r="A49" t="s">
        <v>18</v>
      </c>
      <c r="B49" t="s">
        <v>11</v>
      </c>
      <c r="C49">
        <v>1</v>
      </c>
      <c r="D49">
        <v>1</v>
      </c>
      <c r="E49">
        <v>62.779214757829003</v>
      </c>
      <c r="F49">
        <v>5.9903353669665399E-2</v>
      </c>
      <c r="G49">
        <v>1990.6701626416</v>
      </c>
      <c r="H49">
        <v>481.28949999999998</v>
      </c>
      <c r="I49">
        <v>127.76825146462301</v>
      </c>
      <c r="J49">
        <v>128</v>
      </c>
      <c r="K49">
        <f t="shared" si="0"/>
        <v>1.7438670765575329E-2</v>
      </c>
      <c r="L49">
        <f t="shared" si="1"/>
        <v>3.6233225045581356E-5</v>
      </c>
      <c r="M49">
        <f t="shared" si="2"/>
        <v>2.8986580036465086E-2</v>
      </c>
    </row>
    <row r="50" spans="1:13" x14ac:dyDescent="0.35">
      <c r="A50" t="s">
        <v>18</v>
      </c>
      <c r="B50" t="s">
        <v>11</v>
      </c>
      <c r="C50">
        <v>1</v>
      </c>
      <c r="D50">
        <v>1</v>
      </c>
      <c r="E50">
        <v>58.702652259098002</v>
      </c>
      <c r="F50">
        <v>8.1118782690304203E-2</v>
      </c>
      <c r="G50">
        <v>2135.6849934106999</v>
      </c>
      <c r="H50">
        <v>476.7835</v>
      </c>
      <c r="I50">
        <v>191.63293811921301</v>
      </c>
      <c r="J50">
        <v>192</v>
      </c>
      <c r="K50">
        <f t="shared" si="0"/>
        <v>1.6306292293737312E-2</v>
      </c>
      <c r="L50">
        <f t="shared" si="1"/>
        <v>3.4200622072150801E-5</v>
      </c>
      <c r="M50">
        <f t="shared" si="2"/>
        <v>2.7360497657720639E-2</v>
      </c>
    </row>
    <row r="51" spans="1:13" x14ac:dyDescent="0.35">
      <c r="A51" t="s">
        <v>18</v>
      </c>
      <c r="B51" t="s">
        <v>11</v>
      </c>
      <c r="C51">
        <v>1</v>
      </c>
      <c r="D51">
        <v>1</v>
      </c>
      <c r="E51">
        <v>56.4169705066967</v>
      </c>
      <c r="F51">
        <v>0.102206242730706</v>
      </c>
      <c r="G51">
        <v>2171.86135217839</v>
      </c>
      <c r="H51">
        <v>476.3005</v>
      </c>
      <c r="I51">
        <v>255.467330429371</v>
      </c>
      <c r="J51">
        <v>256</v>
      </c>
      <c r="K51">
        <f t="shared" si="0"/>
        <v>1.5671380695865839E-2</v>
      </c>
      <c r="L51">
        <f t="shared" si="1"/>
        <v>3.2902297385507344E-5</v>
      </c>
      <c r="M51">
        <f t="shared" si="2"/>
        <v>2.6321837908405876E-2</v>
      </c>
    </row>
    <row r="52" spans="1:13" x14ac:dyDescent="0.35">
      <c r="A52" t="s">
        <v>18</v>
      </c>
      <c r="B52" t="s">
        <v>11</v>
      </c>
      <c r="C52">
        <v>1</v>
      </c>
      <c r="D52">
        <v>1</v>
      </c>
      <c r="E52">
        <v>55.0335797527691</v>
      </c>
      <c r="F52">
        <v>0.11528237101149801</v>
      </c>
      <c r="G52">
        <v>2319.9520520823598</v>
      </c>
      <c r="H52">
        <v>475.4135</v>
      </c>
      <c r="I52">
        <v>319.25312261024698</v>
      </c>
      <c r="J52">
        <v>320</v>
      </c>
      <c r="K52">
        <f t="shared" si="0"/>
        <v>1.5287105486452266E-2</v>
      </c>
      <c r="L52">
        <f t="shared" si="1"/>
        <v>3.2155387860151778E-5</v>
      </c>
      <c r="M52">
        <f t="shared" si="2"/>
        <v>2.5724310288121423E-2</v>
      </c>
    </row>
    <row r="53" spans="1:13" x14ac:dyDescent="0.35">
      <c r="A53" t="s">
        <v>18</v>
      </c>
      <c r="B53" t="s">
        <v>11</v>
      </c>
      <c r="C53">
        <v>1</v>
      </c>
      <c r="D53">
        <v>1</v>
      </c>
      <c r="E53">
        <v>73.017940084754798</v>
      </c>
      <c r="F53">
        <v>3.6844939085492801E-2</v>
      </c>
      <c r="G53">
        <v>1696.32502022726</v>
      </c>
      <c r="H53">
        <v>480.82900000000001</v>
      </c>
      <c r="I53">
        <v>63.880955259975799</v>
      </c>
      <c r="J53">
        <v>64</v>
      </c>
      <c r="K53">
        <f t="shared" si="0"/>
        <v>2.0282761134086193E-2</v>
      </c>
      <c r="L53">
        <f t="shared" si="1"/>
        <v>4.2182898980897973E-5</v>
      </c>
      <c r="M53">
        <f t="shared" si="2"/>
        <v>3.3746319184718376E-2</v>
      </c>
    </row>
    <row r="54" spans="1:13" x14ac:dyDescent="0.35">
      <c r="A54" t="s">
        <v>19</v>
      </c>
      <c r="B54" t="s">
        <v>11</v>
      </c>
      <c r="C54">
        <v>1</v>
      </c>
      <c r="D54">
        <v>1</v>
      </c>
      <c r="E54">
        <v>45.318179596410403</v>
      </c>
      <c r="F54">
        <v>0.23237444487905301</v>
      </c>
      <c r="G54">
        <v>2335.3408918690002</v>
      </c>
      <c r="H54">
        <v>410.24700000000001</v>
      </c>
      <c r="I54">
        <v>1010.23092170465</v>
      </c>
      <c r="J54">
        <v>1024</v>
      </c>
      <c r="K54">
        <f t="shared" si="0"/>
        <v>1.2588383220872636E-2</v>
      </c>
      <c r="L54">
        <f t="shared" si="1"/>
        <v>3.0684887935494072E-5</v>
      </c>
      <c r="M54">
        <f t="shared" si="2"/>
        <v>2.4547910348395256E-2</v>
      </c>
    </row>
    <row r="55" spans="1:13" x14ac:dyDescent="0.35">
      <c r="A55" t="s">
        <v>19</v>
      </c>
      <c r="B55" t="s">
        <v>11</v>
      </c>
      <c r="C55">
        <v>1</v>
      </c>
      <c r="D55">
        <v>1</v>
      </c>
      <c r="E55">
        <v>55.916262884223201</v>
      </c>
      <c r="F55">
        <v>5.8605486828893001E-2</v>
      </c>
      <c r="G55">
        <v>2028.2699914064401</v>
      </c>
      <c r="H55">
        <v>409.75650000000002</v>
      </c>
      <c r="I55">
        <v>127.74142581888201</v>
      </c>
      <c r="J55">
        <v>128</v>
      </c>
      <c r="K55">
        <f t="shared" si="0"/>
        <v>1.553229524518265E-2</v>
      </c>
      <c r="L55">
        <f t="shared" si="1"/>
        <v>3.7906159500051004E-5</v>
      </c>
      <c r="M55">
        <f t="shared" si="2"/>
        <v>3.0324927600040803E-2</v>
      </c>
    </row>
    <row r="56" spans="1:13" x14ac:dyDescent="0.35">
      <c r="A56" t="s">
        <v>19</v>
      </c>
      <c r="B56" t="s">
        <v>11</v>
      </c>
      <c r="C56">
        <v>1</v>
      </c>
      <c r="D56">
        <v>1</v>
      </c>
      <c r="E56">
        <v>53.993494630448701</v>
      </c>
      <c r="F56">
        <v>8.3225696270261607E-2</v>
      </c>
      <c r="G56">
        <v>2097.4637161232999</v>
      </c>
      <c r="H56">
        <v>407.363</v>
      </c>
      <c r="I56">
        <v>191.59764619345299</v>
      </c>
      <c r="J56">
        <v>192</v>
      </c>
      <c r="K56">
        <f t="shared" si="0"/>
        <v>1.4998192952482467E-2</v>
      </c>
      <c r="L56">
        <f t="shared" si="1"/>
        <v>3.6817759473694143E-5</v>
      </c>
      <c r="M56">
        <f t="shared" si="2"/>
        <v>2.9454207578955314E-2</v>
      </c>
    </row>
    <row r="57" spans="1:13" x14ac:dyDescent="0.35">
      <c r="A57" t="s">
        <v>19</v>
      </c>
      <c r="B57" t="s">
        <v>11</v>
      </c>
      <c r="C57">
        <v>1</v>
      </c>
      <c r="D57">
        <v>1</v>
      </c>
      <c r="E57">
        <v>56.1508562436197</v>
      </c>
      <c r="F57">
        <v>0.112130276243608</v>
      </c>
      <c r="G57">
        <v>1913.98589811902</v>
      </c>
      <c r="H57">
        <v>411.92700000000002</v>
      </c>
      <c r="I57">
        <v>255.42976939203299</v>
      </c>
      <c r="J57">
        <v>256</v>
      </c>
      <c r="K57">
        <f t="shared" si="0"/>
        <v>1.5597460067235409E-2</v>
      </c>
      <c r="L57">
        <f t="shared" si="1"/>
        <v>3.7864621807347923E-5</v>
      </c>
      <c r="M57">
        <f t="shared" si="2"/>
        <v>3.0291697445878337E-2</v>
      </c>
    </row>
    <row r="58" spans="1:13" x14ac:dyDescent="0.35">
      <c r="A58" t="s">
        <v>19</v>
      </c>
      <c r="B58" t="s">
        <v>11</v>
      </c>
      <c r="C58">
        <v>1</v>
      </c>
      <c r="D58">
        <v>1</v>
      </c>
      <c r="E58">
        <v>49.963516203369103</v>
      </c>
      <c r="F58">
        <v>0.110746605183403</v>
      </c>
      <c r="G58">
        <v>2295.0057578002702</v>
      </c>
      <c r="H58">
        <v>412.22199999999998</v>
      </c>
      <c r="I58">
        <v>319.20898051397899</v>
      </c>
      <c r="J58">
        <v>320</v>
      </c>
      <c r="K58">
        <f t="shared" si="0"/>
        <v>1.3878754500547257E-2</v>
      </c>
      <c r="L58">
        <f t="shared" si="1"/>
        <v>3.3668155752354939E-5</v>
      </c>
      <c r="M58">
        <f t="shared" si="2"/>
        <v>2.693452460188395E-2</v>
      </c>
    </row>
    <row r="59" spans="1:13" x14ac:dyDescent="0.35">
      <c r="A59" t="s">
        <v>19</v>
      </c>
      <c r="B59" t="s">
        <v>11</v>
      </c>
      <c r="C59">
        <v>1</v>
      </c>
      <c r="D59">
        <v>1</v>
      </c>
      <c r="E59">
        <v>51.259010051113599</v>
      </c>
      <c r="F59">
        <v>0.17764611539837899</v>
      </c>
      <c r="G59">
        <v>2027.6631858472499</v>
      </c>
      <c r="H59">
        <v>408.8365</v>
      </c>
      <c r="I59">
        <v>509.96852836879401</v>
      </c>
      <c r="J59">
        <v>512</v>
      </c>
      <c r="K59">
        <f t="shared" si="0"/>
        <v>1.4238613902688428E-2</v>
      </c>
      <c r="L59">
        <f t="shared" si="1"/>
        <v>3.4827159274400469E-5</v>
      </c>
      <c r="M59">
        <f t="shared" si="2"/>
        <v>2.7861727419520376E-2</v>
      </c>
    </row>
    <row r="60" spans="1:13" x14ac:dyDescent="0.35">
      <c r="A60" t="s">
        <v>19</v>
      </c>
      <c r="B60" t="s">
        <v>11</v>
      </c>
      <c r="C60">
        <v>1</v>
      </c>
      <c r="D60">
        <v>1</v>
      </c>
      <c r="E60">
        <v>71.497342327027994</v>
      </c>
      <c r="F60">
        <v>3.7315664303084403E-2</v>
      </c>
      <c r="G60">
        <v>1672.7710006791201</v>
      </c>
      <c r="H60">
        <v>413.58499999999998</v>
      </c>
      <c r="I60">
        <v>63.863963465264298</v>
      </c>
      <c r="J60">
        <v>64</v>
      </c>
      <c r="K60">
        <f t="shared" si="0"/>
        <v>1.9860372868062796E-2</v>
      </c>
      <c r="L60">
        <f t="shared" si="1"/>
        <v>4.8020051181891988E-5</v>
      </c>
      <c r="M60">
        <f t="shared" si="2"/>
        <v>3.841604094551359E-2</v>
      </c>
    </row>
    <row r="61" spans="1:13" x14ac:dyDescent="0.35">
      <c r="A61" t="s">
        <v>19</v>
      </c>
      <c r="B61" t="s">
        <v>11</v>
      </c>
      <c r="C61">
        <v>1</v>
      </c>
      <c r="D61">
        <v>1</v>
      </c>
      <c r="E61">
        <v>49.251840377879702</v>
      </c>
      <c r="F61">
        <v>0.21879771322226199</v>
      </c>
      <c r="G61">
        <v>2163.06624306411</v>
      </c>
      <c r="H61">
        <v>409.01350000000002</v>
      </c>
      <c r="I61">
        <v>762.02234636871503</v>
      </c>
      <c r="J61">
        <v>768</v>
      </c>
      <c r="K61">
        <f t="shared" si="0"/>
        <v>1.368106677125018E-2</v>
      </c>
      <c r="L61">
        <f t="shared" si="1"/>
        <v>3.3448936945235741E-5</v>
      </c>
      <c r="M61">
        <f t="shared" si="2"/>
        <v>2.6759149556188591E-2</v>
      </c>
    </row>
    <row r="62" spans="1:13" x14ac:dyDescent="0.35">
      <c r="A62" t="s">
        <v>20</v>
      </c>
      <c r="B62" t="s">
        <v>11</v>
      </c>
      <c r="C62">
        <v>1</v>
      </c>
      <c r="D62">
        <v>1</v>
      </c>
      <c r="E62">
        <v>45.316285415817397</v>
      </c>
      <c r="F62">
        <v>0.26908584332122398</v>
      </c>
      <c r="G62">
        <v>2057.1071940156398</v>
      </c>
      <c r="H62">
        <v>422.39800000000002</v>
      </c>
      <c r="I62">
        <v>1009.26908396946</v>
      </c>
      <c r="J62">
        <v>1024</v>
      </c>
      <c r="K62">
        <f t="shared" si="0"/>
        <v>1.2587857059596816E-2</v>
      </c>
      <c r="L62">
        <f t="shared" si="1"/>
        <v>2.9800939065991827E-5</v>
      </c>
      <c r="M62">
        <f t="shared" si="2"/>
        <v>2.384075125279346E-2</v>
      </c>
    </row>
    <row r="63" spans="1:13" x14ac:dyDescent="0.35">
      <c r="A63" t="s">
        <v>20</v>
      </c>
      <c r="B63" t="s">
        <v>11</v>
      </c>
      <c r="C63">
        <v>1</v>
      </c>
      <c r="D63">
        <v>1</v>
      </c>
      <c r="E63">
        <v>53.193203141765103</v>
      </c>
      <c r="F63">
        <v>5.9155424867442498E-2</v>
      </c>
      <c r="G63">
        <v>2021.9516359442</v>
      </c>
      <c r="H63">
        <v>422.13049999999998</v>
      </c>
      <c r="I63">
        <v>127.74232511323601</v>
      </c>
      <c r="J63">
        <v>128</v>
      </c>
      <c r="K63">
        <f t="shared" si="0"/>
        <v>1.4775889761187691E-2</v>
      </c>
      <c r="L63">
        <f t="shared" si="1"/>
        <v>3.5003132351696196E-5</v>
      </c>
      <c r="M63">
        <f t="shared" si="2"/>
        <v>2.8002505881356957E-2</v>
      </c>
    </row>
    <row r="64" spans="1:13" x14ac:dyDescent="0.35">
      <c r="A64" t="s">
        <v>20</v>
      </c>
      <c r="B64" t="s">
        <v>11</v>
      </c>
      <c r="C64">
        <v>1</v>
      </c>
      <c r="D64">
        <v>1</v>
      </c>
      <c r="E64">
        <v>42.895571851652903</v>
      </c>
      <c r="F64">
        <v>0.278773905192017</v>
      </c>
      <c r="G64">
        <v>2189.80200941679</v>
      </c>
      <c r="H64">
        <v>420.91500000000002</v>
      </c>
      <c r="I64">
        <v>1230.2291139240499</v>
      </c>
      <c r="J64">
        <v>1280</v>
      </c>
      <c r="K64">
        <f t="shared" si="0"/>
        <v>1.1915436625125507E-2</v>
      </c>
      <c r="L64">
        <f t="shared" si="1"/>
        <v>2.8308415297923584E-5</v>
      </c>
      <c r="M64">
        <f t="shared" si="2"/>
        <v>2.2646732238338869E-2</v>
      </c>
    </row>
    <row r="65" spans="1:13" x14ac:dyDescent="0.35">
      <c r="A65" t="s">
        <v>20</v>
      </c>
      <c r="B65" t="s">
        <v>11</v>
      </c>
      <c r="C65">
        <v>1</v>
      </c>
      <c r="D65">
        <v>1</v>
      </c>
      <c r="E65">
        <v>52.520487804375499</v>
      </c>
      <c r="F65">
        <v>8.4312922395927498E-2</v>
      </c>
      <c r="G65">
        <v>1997.44419301465</v>
      </c>
      <c r="H65">
        <v>424.34</v>
      </c>
      <c r="I65">
        <v>191.591102445941</v>
      </c>
      <c r="J65">
        <v>192</v>
      </c>
      <c r="K65">
        <f t="shared" si="0"/>
        <v>1.4589024389695811E-2</v>
      </c>
      <c r="L65">
        <f t="shared" si="1"/>
        <v>3.4380507116217684E-5</v>
      </c>
      <c r="M65">
        <f t="shared" si="2"/>
        <v>2.7504405692974146E-2</v>
      </c>
    </row>
    <row r="66" spans="1:13" x14ac:dyDescent="0.35">
      <c r="A66" t="s">
        <v>20</v>
      </c>
      <c r="B66" t="s">
        <v>11</v>
      </c>
      <c r="C66">
        <v>1</v>
      </c>
      <c r="D66">
        <v>1</v>
      </c>
      <c r="E66">
        <v>50.869297752549201</v>
      </c>
      <c r="F66">
        <v>0.104805996122163</v>
      </c>
      <c r="G66">
        <v>2041.5603527207099</v>
      </c>
      <c r="H66">
        <v>429.29500000000002</v>
      </c>
      <c r="I66">
        <v>255.42776523702</v>
      </c>
      <c r="J66">
        <v>256</v>
      </c>
      <c r="K66">
        <f t="shared" si="0"/>
        <v>1.4130360486423571E-2</v>
      </c>
      <c r="L66">
        <f t="shared" si="1"/>
        <v>3.2915269188841173E-5</v>
      </c>
      <c r="M66">
        <f t="shared" si="2"/>
        <v>2.6332215351072937E-2</v>
      </c>
    </row>
    <row r="67" spans="1:13" x14ac:dyDescent="0.35">
      <c r="A67" t="s">
        <v>20</v>
      </c>
      <c r="B67" t="s">
        <v>11</v>
      </c>
      <c r="C67">
        <v>1</v>
      </c>
      <c r="D67">
        <v>1</v>
      </c>
      <c r="E67">
        <v>45.477187498694803</v>
      </c>
      <c r="F67">
        <v>0.109054610705749</v>
      </c>
      <c r="G67">
        <v>2378.5878441547802</v>
      </c>
      <c r="H67">
        <v>425.57</v>
      </c>
      <c r="I67">
        <v>319.192520775623</v>
      </c>
      <c r="J67">
        <v>320</v>
      </c>
      <c r="K67">
        <f t="shared" ref="K67:K106" si="3">E67*0.00027777777777</f>
        <v>1.2632552082617066E-2</v>
      </c>
      <c r="L67">
        <f t="shared" ref="L67:L106" si="4">K67/H67</f>
        <v>2.9683840690408313E-5</v>
      </c>
      <c r="M67">
        <f t="shared" ref="M67:M106" si="5">L67*400*2</f>
        <v>2.3747072552326651E-2</v>
      </c>
    </row>
    <row r="68" spans="1:13" x14ac:dyDescent="0.35">
      <c r="A68" t="s">
        <v>20</v>
      </c>
      <c r="B68" t="s">
        <v>11</v>
      </c>
      <c r="C68">
        <v>1</v>
      </c>
      <c r="D68">
        <v>1</v>
      </c>
      <c r="E68">
        <v>43.754671539948198</v>
      </c>
      <c r="F68">
        <v>0.15524151060082</v>
      </c>
      <c r="G68">
        <v>2333.0834896991701</v>
      </c>
      <c r="H68">
        <v>423.59100000000001</v>
      </c>
      <c r="I68">
        <v>509.89071274297999</v>
      </c>
      <c r="J68">
        <v>512</v>
      </c>
      <c r="K68">
        <f t="shared" si="3"/>
        <v>1.2154075427423073E-2</v>
      </c>
      <c r="L68">
        <f t="shared" si="4"/>
        <v>2.8692950103810214E-5</v>
      </c>
      <c r="M68">
        <f t="shared" si="5"/>
        <v>2.2954360083048173E-2</v>
      </c>
    </row>
    <row r="69" spans="1:13" x14ac:dyDescent="0.35">
      <c r="A69" t="s">
        <v>20</v>
      </c>
      <c r="B69" t="s">
        <v>11</v>
      </c>
      <c r="C69">
        <v>1</v>
      </c>
      <c r="D69">
        <v>1</v>
      </c>
      <c r="E69">
        <v>66.948681989585197</v>
      </c>
      <c r="F69">
        <v>3.4933955026261003E-2</v>
      </c>
      <c r="G69">
        <v>1780.4073984776001</v>
      </c>
      <c r="H69">
        <v>427.80549999999999</v>
      </c>
      <c r="I69">
        <v>63.867521654468497</v>
      </c>
      <c r="J69">
        <v>64</v>
      </c>
      <c r="K69">
        <f t="shared" si="3"/>
        <v>1.8596856107697398E-2</v>
      </c>
      <c r="L69">
        <f t="shared" si="4"/>
        <v>4.3470353017194492E-5</v>
      </c>
      <c r="M69">
        <f t="shared" si="5"/>
        <v>3.4776282413755591E-2</v>
      </c>
    </row>
    <row r="70" spans="1:13" x14ac:dyDescent="0.35">
      <c r="A70" t="s">
        <v>20</v>
      </c>
      <c r="B70" t="s">
        <v>11</v>
      </c>
      <c r="C70">
        <v>1</v>
      </c>
      <c r="D70">
        <v>1</v>
      </c>
      <c r="E70">
        <v>47.867834633376603</v>
      </c>
      <c r="F70">
        <v>0.23380942134639299</v>
      </c>
      <c r="G70">
        <v>2025.9592574317401</v>
      </c>
      <c r="H70">
        <v>425.63049999999998</v>
      </c>
      <c r="I70">
        <v>761.68720696584001</v>
      </c>
      <c r="J70">
        <v>768</v>
      </c>
      <c r="K70">
        <f t="shared" si="3"/>
        <v>1.3296620731121195E-2</v>
      </c>
      <c r="L70">
        <f t="shared" si="4"/>
        <v>3.1239821232550757E-5</v>
      </c>
      <c r="M70">
        <f t="shared" si="5"/>
        <v>2.4991856986040607E-2</v>
      </c>
    </row>
    <row r="71" spans="1:13" x14ac:dyDescent="0.35">
      <c r="A71" t="s">
        <v>21</v>
      </c>
      <c r="B71" t="s">
        <v>11</v>
      </c>
      <c r="C71">
        <v>8</v>
      </c>
      <c r="D71">
        <v>1</v>
      </c>
      <c r="E71">
        <v>606.98685344593798</v>
      </c>
      <c r="F71">
        <v>0.43850185240767803</v>
      </c>
      <c r="G71">
        <v>1466.06743493624</v>
      </c>
      <c r="H71">
        <v>509.7115</v>
      </c>
      <c r="I71">
        <v>1011.13988808952</v>
      </c>
      <c r="J71">
        <v>1024</v>
      </c>
      <c r="K71">
        <f t="shared" si="3"/>
        <v>0.1686074592858173</v>
      </c>
      <c r="L71">
        <f t="shared" si="4"/>
        <v>3.3078998469882926E-4</v>
      </c>
      <c r="M71">
        <f t="shared" si="5"/>
        <v>0.26463198775906344</v>
      </c>
    </row>
    <row r="72" spans="1:13" x14ac:dyDescent="0.35">
      <c r="A72" t="s">
        <v>21</v>
      </c>
      <c r="B72" t="s">
        <v>11</v>
      </c>
      <c r="C72">
        <v>8</v>
      </c>
      <c r="D72">
        <v>1</v>
      </c>
      <c r="E72">
        <v>1031.8251235129701</v>
      </c>
      <c r="F72">
        <v>0.15142992630958399</v>
      </c>
      <c r="G72">
        <v>809.97762946376201</v>
      </c>
      <c r="H72">
        <v>509.95</v>
      </c>
      <c r="I72">
        <v>127.78130003202</v>
      </c>
      <c r="J72">
        <v>128</v>
      </c>
      <c r="K72">
        <f t="shared" si="3"/>
        <v>0.28661808985668857</v>
      </c>
      <c r="L72">
        <f t="shared" si="4"/>
        <v>5.6205135769524185E-4</v>
      </c>
      <c r="M72">
        <f t="shared" si="5"/>
        <v>0.44964108615619347</v>
      </c>
    </row>
    <row r="73" spans="1:13" x14ac:dyDescent="0.35">
      <c r="A73" t="s">
        <v>21</v>
      </c>
      <c r="B73" t="s">
        <v>11</v>
      </c>
      <c r="C73">
        <v>8</v>
      </c>
      <c r="D73">
        <v>1</v>
      </c>
      <c r="E73">
        <v>554.60109310061603</v>
      </c>
      <c r="F73">
        <v>0.418049987046265</v>
      </c>
      <c r="G73">
        <v>1782.2130448641201</v>
      </c>
      <c r="H73">
        <v>507.887</v>
      </c>
      <c r="I73">
        <v>1252.18376550169</v>
      </c>
      <c r="J73">
        <v>1280</v>
      </c>
      <c r="K73">
        <f t="shared" si="3"/>
        <v>0.15405585919030199</v>
      </c>
      <c r="L73">
        <f t="shared" si="4"/>
        <v>3.0332703768811168E-4</v>
      </c>
      <c r="M73">
        <f t="shared" si="5"/>
        <v>0.24266163015048936</v>
      </c>
    </row>
    <row r="74" spans="1:13" x14ac:dyDescent="0.35">
      <c r="A74" t="s">
        <v>21</v>
      </c>
      <c r="B74" t="s">
        <v>11</v>
      </c>
      <c r="C74">
        <v>8</v>
      </c>
      <c r="D74">
        <v>1</v>
      </c>
      <c r="E74">
        <v>558.40966120135204</v>
      </c>
      <c r="F74">
        <v>0.44959080698561599</v>
      </c>
      <c r="G74">
        <v>1902.2275887335099</v>
      </c>
      <c r="H74">
        <v>511.87099999999998</v>
      </c>
      <c r="I74">
        <v>1472.7764505119401</v>
      </c>
      <c r="J74">
        <v>1536</v>
      </c>
      <c r="K74">
        <f t="shared" si="3"/>
        <v>0.15511379477381015</v>
      </c>
      <c r="L74">
        <f t="shared" si="4"/>
        <v>3.0303298052401908E-4</v>
      </c>
      <c r="M74">
        <f t="shared" si="5"/>
        <v>0.24242638441921527</v>
      </c>
    </row>
    <row r="75" spans="1:13" x14ac:dyDescent="0.35">
      <c r="A75" t="s">
        <v>21</v>
      </c>
      <c r="B75" t="s">
        <v>11</v>
      </c>
      <c r="C75">
        <v>8</v>
      </c>
      <c r="D75">
        <v>1</v>
      </c>
      <c r="E75">
        <v>882.55171147849501</v>
      </c>
      <c r="F75">
        <v>0.18282597865964201</v>
      </c>
      <c r="G75">
        <v>979.31448841658096</v>
      </c>
      <c r="H75">
        <v>509.1155</v>
      </c>
      <c r="I75">
        <v>191.656955460646</v>
      </c>
      <c r="J75">
        <v>192</v>
      </c>
      <c r="K75">
        <f t="shared" si="3"/>
        <v>0.24515325318160652</v>
      </c>
      <c r="L75">
        <f t="shared" si="4"/>
        <v>4.8152777352409529E-4</v>
      </c>
      <c r="M75">
        <f t="shared" si="5"/>
        <v>0.38522221881927621</v>
      </c>
    </row>
    <row r="76" spans="1:13" x14ac:dyDescent="0.35">
      <c r="A76" t="s">
        <v>21</v>
      </c>
      <c r="B76" t="s">
        <v>11</v>
      </c>
      <c r="C76">
        <v>8</v>
      </c>
      <c r="D76">
        <v>1</v>
      </c>
      <c r="E76">
        <v>752.28676919597103</v>
      </c>
      <c r="F76">
        <v>0.19767414706484199</v>
      </c>
      <c r="G76">
        <v>1159.78014971787</v>
      </c>
      <c r="H76">
        <v>510.32400000000001</v>
      </c>
      <c r="I76">
        <v>255.50472069236801</v>
      </c>
      <c r="J76">
        <v>256</v>
      </c>
      <c r="K76">
        <f t="shared" si="3"/>
        <v>0.20896854699302972</v>
      </c>
      <c r="L76">
        <f t="shared" si="4"/>
        <v>4.0948210743180745E-4</v>
      </c>
      <c r="M76">
        <f t="shared" si="5"/>
        <v>0.32758568594544596</v>
      </c>
    </row>
    <row r="77" spans="1:13" x14ac:dyDescent="0.35">
      <c r="A77" t="s">
        <v>21</v>
      </c>
      <c r="B77" t="s">
        <v>11</v>
      </c>
      <c r="C77">
        <v>8</v>
      </c>
      <c r="D77">
        <v>1</v>
      </c>
      <c r="E77">
        <v>786.62400517707704</v>
      </c>
      <c r="F77">
        <v>0.241587373710211</v>
      </c>
      <c r="G77">
        <v>1134.3440860995099</v>
      </c>
      <c r="H77">
        <v>511.58850000000001</v>
      </c>
      <c r="I77">
        <v>319.231466030989</v>
      </c>
      <c r="J77">
        <v>320</v>
      </c>
      <c r="K77">
        <f t="shared" si="3"/>
        <v>0.21850666809862543</v>
      </c>
      <c r="L77">
        <f t="shared" si="4"/>
        <v>4.2711411241383538E-4</v>
      </c>
      <c r="M77">
        <f t="shared" si="5"/>
        <v>0.34169128993106829</v>
      </c>
    </row>
    <row r="78" spans="1:13" x14ac:dyDescent="0.35">
      <c r="A78" t="s">
        <v>21</v>
      </c>
      <c r="B78" t="s">
        <v>11</v>
      </c>
      <c r="C78">
        <v>8</v>
      </c>
      <c r="D78">
        <v>1</v>
      </c>
      <c r="E78">
        <v>676.57772041602504</v>
      </c>
      <c r="F78">
        <v>0.30661799498320702</v>
      </c>
      <c r="G78">
        <v>1304.5372077761001</v>
      </c>
      <c r="H78">
        <v>509.8</v>
      </c>
      <c r="I78">
        <v>510.13976891539301</v>
      </c>
      <c r="J78">
        <v>512</v>
      </c>
      <c r="K78">
        <f t="shared" si="3"/>
        <v>0.18793825566585579</v>
      </c>
      <c r="L78">
        <f t="shared" si="4"/>
        <v>3.686509526595837E-4</v>
      </c>
      <c r="M78">
        <f t="shared" si="5"/>
        <v>0.29492076212766694</v>
      </c>
    </row>
    <row r="79" spans="1:13" x14ac:dyDescent="0.35">
      <c r="A79" t="s">
        <v>21</v>
      </c>
      <c r="B79" t="s">
        <v>11</v>
      </c>
      <c r="C79">
        <v>8</v>
      </c>
      <c r="D79">
        <v>1</v>
      </c>
      <c r="E79">
        <v>1511.07199282495</v>
      </c>
      <c r="F79">
        <v>0.11626139987921499</v>
      </c>
      <c r="G79">
        <v>544.08122041101205</v>
      </c>
      <c r="H79">
        <v>508.71899999999999</v>
      </c>
      <c r="I79">
        <v>63.887175973506899</v>
      </c>
      <c r="J79">
        <v>64</v>
      </c>
      <c r="K79">
        <f t="shared" si="3"/>
        <v>0.41974222021739999</v>
      </c>
      <c r="L79">
        <f t="shared" si="4"/>
        <v>8.2509640925029337E-4</v>
      </c>
      <c r="M79">
        <f t="shared" si="5"/>
        <v>0.66007712740023472</v>
      </c>
    </row>
    <row r="80" spans="1:13" x14ac:dyDescent="0.35">
      <c r="A80" t="s">
        <v>21</v>
      </c>
      <c r="B80" t="s">
        <v>11</v>
      </c>
      <c r="C80">
        <v>8</v>
      </c>
      <c r="D80">
        <v>1</v>
      </c>
      <c r="E80">
        <v>635.999000138827</v>
      </c>
      <c r="F80">
        <v>0.36471325010547001</v>
      </c>
      <c r="G80">
        <v>1482.0156756419799</v>
      </c>
      <c r="H80">
        <v>512.61099999999999</v>
      </c>
      <c r="I80">
        <v>762.57852193995302</v>
      </c>
      <c r="J80">
        <v>768</v>
      </c>
      <c r="K80">
        <f t="shared" si="3"/>
        <v>0.17666638892250527</v>
      </c>
      <c r="L80">
        <f t="shared" si="4"/>
        <v>3.4464026117758938E-4</v>
      </c>
      <c r="M80">
        <f t="shared" si="5"/>
        <v>0.27571220894207149</v>
      </c>
    </row>
    <row r="81" spans="1:13" x14ac:dyDescent="0.35">
      <c r="A81" t="s">
        <v>22</v>
      </c>
      <c r="B81" t="s">
        <v>11</v>
      </c>
      <c r="C81">
        <v>1</v>
      </c>
      <c r="D81">
        <v>1</v>
      </c>
      <c r="E81">
        <v>71.293596020630005</v>
      </c>
      <c r="F81">
        <v>6.1605527585972902E-2</v>
      </c>
      <c r="G81">
        <v>1933.3489323446399</v>
      </c>
      <c r="H81">
        <v>434.642</v>
      </c>
      <c r="I81">
        <v>127.752465483234</v>
      </c>
      <c r="J81">
        <v>128</v>
      </c>
      <c r="K81">
        <f t="shared" si="3"/>
        <v>1.9803776671842716E-2</v>
      </c>
      <c r="L81">
        <f t="shared" si="4"/>
        <v>4.5563421555769381E-5</v>
      </c>
      <c r="M81">
        <f t="shared" si="5"/>
        <v>3.6450737244615505E-2</v>
      </c>
    </row>
    <row r="82" spans="1:13" x14ac:dyDescent="0.35">
      <c r="A82" t="s">
        <v>22</v>
      </c>
      <c r="B82" t="s">
        <v>11</v>
      </c>
      <c r="C82">
        <v>1</v>
      </c>
      <c r="D82">
        <v>1</v>
      </c>
      <c r="E82">
        <v>71.154523338997606</v>
      </c>
      <c r="F82">
        <v>9.1603364259624995E-2</v>
      </c>
      <c r="G82">
        <v>1857.7726004581</v>
      </c>
      <c r="H82">
        <v>435.59050000000002</v>
      </c>
      <c r="I82">
        <v>191.61949685534501</v>
      </c>
      <c r="J82">
        <v>192</v>
      </c>
      <c r="K82">
        <f t="shared" si="3"/>
        <v>1.9765145371390354E-2</v>
      </c>
      <c r="L82">
        <f t="shared" si="4"/>
        <v>4.5375519832021943E-5</v>
      </c>
      <c r="M82">
        <f t="shared" si="5"/>
        <v>3.6300415865617552E-2</v>
      </c>
    </row>
    <row r="83" spans="1:13" x14ac:dyDescent="0.35">
      <c r="A83" t="s">
        <v>22</v>
      </c>
      <c r="B83" t="s">
        <v>11</v>
      </c>
      <c r="C83">
        <v>1</v>
      </c>
      <c r="D83">
        <v>1</v>
      </c>
      <c r="E83">
        <v>65.898611808249996</v>
      </c>
      <c r="F83">
        <v>0.115771298957455</v>
      </c>
      <c r="G83">
        <v>1898.88282088152</v>
      </c>
      <c r="H83">
        <v>436.911</v>
      </c>
      <c r="I83">
        <v>255.45472837022101</v>
      </c>
      <c r="J83">
        <v>256</v>
      </c>
      <c r="K83">
        <f t="shared" si="3"/>
        <v>1.8305169946223564E-2</v>
      </c>
      <c r="L83">
        <f t="shared" si="4"/>
        <v>4.1896793503078579E-5</v>
      </c>
      <c r="M83">
        <f t="shared" si="5"/>
        <v>3.3517434802462866E-2</v>
      </c>
    </row>
    <row r="84" spans="1:13" x14ac:dyDescent="0.35">
      <c r="A84" t="s">
        <v>22</v>
      </c>
      <c r="B84" t="s">
        <v>11</v>
      </c>
      <c r="C84">
        <v>1</v>
      </c>
      <c r="D84">
        <v>1</v>
      </c>
      <c r="E84">
        <v>58.618175285950699</v>
      </c>
      <c r="F84">
        <v>0.114101817780557</v>
      </c>
      <c r="G84">
        <v>2311.5680436450598</v>
      </c>
      <c r="H84">
        <v>433.584</v>
      </c>
      <c r="I84">
        <v>319.23684210526301</v>
      </c>
      <c r="J84">
        <v>320</v>
      </c>
      <c r="K84">
        <f t="shared" si="3"/>
        <v>1.6282826467863717E-2</v>
      </c>
      <c r="L84">
        <f t="shared" si="4"/>
        <v>3.7554029825509514E-5</v>
      </c>
      <c r="M84">
        <f t="shared" si="5"/>
        <v>3.0043223860407611E-2</v>
      </c>
    </row>
    <row r="85" spans="1:13" x14ac:dyDescent="0.35">
      <c r="A85" t="s">
        <v>22</v>
      </c>
      <c r="B85" t="s">
        <v>11</v>
      </c>
      <c r="C85">
        <v>1</v>
      </c>
      <c r="D85">
        <v>1</v>
      </c>
      <c r="E85">
        <v>60.1242791564352</v>
      </c>
      <c r="F85">
        <v>0.182747691277966</v>
      </c>
      <c r="G85">
        <v>2055.31882145692</v>
      </c>
      <c r="H85">
        <v>438.99299999999999</v>
      </c>
      <c r="I85">
        <v>510.093988145639</v>
      </c>
      <c r="J85">
        <v>512</v>
      </c>
      <c r="K85">
        <f t="shared" si="3"/>
        <v>1.6701188654097698E-2</v>
      </c>
      <c r="L85">
        <f t="shared" si="4"/>
        <v>3.8044316547411232E-5</v>
      </c>
      <c r="M85">
        <f t="shared" si="5"/>
        <v>3.0435453237928987E-2</v>
      </c>
    </row>
    <row r="86" spans="1:13" x14ac:dyDescent="0.35">
      <c r="A86" t="s">
        <v>22</v>
      </c>
      <c r="B86" t="s">
        <v>11</v>
      </c>
      <c r="C86">
        <v>1</v>
      </c>
      <c r="D86">
        <v>1</v>
      </c>
      <c r="E86">
        <v>92.953931311728397</v>
      </c>
      <c r="F86">
        <v>3.8852985115498E-2</v>
      </c>
      <c r="G86">
        <v>1602.61568091752</v>
      </c>
      <c r="H86">
        <v>434.87049999999999</v>
      </c>
      <c r="I86">
        <v>63.869594056778901</v>
      </c>
      <c r="J86">
        <v>64</v>
      </c>
      <c r="K86">
        <f t="shared" si="3"/>
        <v>2.5820536474757134E-2</v>
      </c>
      <c r="L86">
        <f t="shared" si="4"/>
        <v>5.9375231188956562E-5</v>
      </c>
      <c r="M86">
        <f t="shared" si="5"/>
        <v>4.7500184951165252E-2</v>
      </c>
    </row>
    <row r="87" spans="1:13" x14ac:dyDescent="0.35">
      <c r="A87" t="s">
        <v>22</v>
      </c>
      <c r="B87" t="s">
        <v>11</v>
      </c>
      <c r="C87">
        <v>1</v>
      </c>
      <c r="D87">
        <v>1</v>
      </c>
      <c r="E87">
        <v>57.924891373439102</v>
      </c>
      <c r="F87">
        <v>0.23001808831044701</v>
      </c>
      <c r="G87">
        <v>2123.6265644271498</v>
      </c>
      <c r="H87">
        <v>439.64299999999997</v>
      </c>
      <c r="I87">
        <v>760.17756366138997</v>
      </c>
      <c r="J87">
        <v>768</v>
      </c>
      <c r="K87">
        <f t="shared" si="3"/>
        <v>1.6090247603282554E-2</v>
      </c>
      <c r="L87">
        <f t="shared" si="4"/>
        <v>3.6598439195625896E-5</v>
      </c>
      <c r="M87">
        <f t="shared" si="5"/>
        <v>2.9278751356500717E-2</v>
      </c>
    </row>
    <row r="88" spans="1:13" x14ac:dyDescent="0.35">
      <c r="A88" t="s">
        <v>23</v>
      </c>
      <c r="B88" t="s">
        <v>11</v>
      </c>
      <c r="C88">
        <v>8</v>
      </c>
      <c r="D88">
        <v>1</v>
      </c>
      <c r="E88">
        <v>365.279722717433</v>
      </c>
      <c r="F88">
        <v>0.306418112535006</v>
      </c>
      <c r="G88">
        <v>1753.1982628728799</v>
      </c>
      <c r="H88">
        <v>386.66699999999997</v>
      </c>
      <c r="I88">
        <v>1006.84171907756</v>
      </c>
      <c r="J88">
        <v>1024</v>
      </c>
      <c r="K88">
        <f t="shared" si="3"/>
        <v>0.10146658964089032</v>
      </c>
      <c r="L88">
        <f t="shared" si="4"/>
        <v>2.6241336768043387E-4</v>
      </c>
      <c r="M88">
        <f t="shared" si="5"/>
        <v>0.20993069414434709</v>
      </c>
    </row>
    <row r="89" spans="1:13" x14ac:dyDescent="0.35">
      <c r="A89" t="s">
        <v>23</v>
      </c>
      <c r="B89" t="s">
        <v>11</v>
      </c>
      <c r="C89">
        <v>8</v>
      </c>
      <c r="D89">
        <v>1</v>
      </c>
      <c r="E89">
        <v>765.95459287073595</v>
      </c>
      <c r="F89">
        <v>0.142951049715419</v>
      </c>
      <c r="G89">
        <v>849.37724534403196</v>
      </c>
      <c r="H89">
        <v>386.95400000000001</v>
      </c>
      <c r="I89">
        <v>127.729102374882</v>
      </c>
      <c r="J89">
        <v>128</v>
      </c>
      <c r="K89">
        <f t="shared" si="3"/>
        <v>0.21276516468035811</v>
      </c>
      <c r="L89">
        <f t="shared" si="4"/>
        <v>5.498461436769179E-4</v>
      </c>
      <c r="M89">
        <f t="shared" si="5"/>
        <v>0.4398769149415343</v>
      </c>
    </row>
    <row r="90" spans="1:13" x14ac:dyDescent="0.35">
      <c r="A90" t="s">
        <v>23</v>
      </c>
      <c r="B90" t="s">
        <v>11</v>
      </c>
      <c r="C90">
        <v>8</v>
      </c>
      <c r="D90">
        <v>1</v>
      </c>
      <c r="E90">
        <v>344.32704070928298</v>
      </c>
      <c r="F90">
        <v>0.33190578974150597</v>
      </c>
      <c r="G90">
        <v>1848.9572545188</v>
      </c>
      <c r="H90">
        <v>387.28550000000001</v>
      </c>
      <c r="I90">
        <v>1244.5759312320899</v>
      </c>
      <c r="J90">
        <v>1280</v>
      </c>
      <c r="K90">
        <f t="shared" si="3"/>
        <v>9.5646400194344949E-2</v>
      </c>
      <c r="L90">
        <f t="shared" si="4"/>
        <v>2.4696612755795128E-4</v>
      </c>
      <c r="M90">
        <f t="shared" si="5"/>
        <v>0.19757290204636102</v>
      </c>
    </row>
    <row r="91" spans="1:13" x14ac:dyDescent="0.35">
      <c r="A91" t="s">
        <v>23</v>
      </c>
      <c r="B91" t="s">
        <v>11</v>
      </c>
      <c r="C91">
        <v>8</v>
      </c>
      <c r="D91">
        <v>1</v>
      </c>
      <c r="E91">
        <v>342.57448871536701</v>
      </c>
      <c r="F91">
        <v>0.33733549278952901</v>
      </c>
      <c r="G91">
        <v>1890.2849911763301</v>
      </c>
      <c r="H91">
        <v>387.93450000000001</v>
      </c>
      <c r="I91">
        <v>1464.71457489878</v>
      </c>
      <c r="J91">
        <v>1536</v>
      </c>
      <c r="K91">
        <f t="shared" si="3"/>
        <v>9.5159580196048588E-2</v>
      </c>
      <c r="L91">
        <f t="shared" si="4"/>
        <v>2.4529805984270178E-4</v>
      </c>
      <c r="M91">
        <f t="shared" si="5"/>
        <v>0.19623844787416142</v>
      </c>
    </row>
    <row r="92" spans="1:13" x14ac:dyDescent="0.35">
      <c r="A92" t="s">
        <v>23</v>
      </c>
      <c r="B92" t="s">
        <v>11</v>
      </c>
      <c r="C92">
        <v>8</v>
      </c>
      <c r="D92">
        <v>1</v>
      </c>
      <c r="E92">
        <v>625.219733384454</v>
      </c>
      <c r="F92">
        <v>0.17125744286953201</v>
      </c>
      <c r="G92">
        <v>1031.7301106575501</v>
      </c>
      <c r="H92">
        <v>387.51799999999997</v>
      </c>
      <c r="I92">
        <v>191.57543062653701</v>
      </c>
      <c r="J92">
        <v>192</v>
      </c>
      <c r="K92">
        <f t="shared" si="3"/>
        <v>0.1736721481574855</v>
      </c>
      <c r="L92">
        <f t="shared" si="4"/>
        <v>4.4816537078919046E-4</v>
      </c>
      <c r="M92">
        <f t="shared" si="5"/>
        <v>0.35853229663135239</v>
      </c>
    </row>
    <row r="93" spans="1:13" x14ac:dyDescent="0.35">
      <c r="A93" t="s">
        <v>23</v>
      </c>
      <c r="B93" t="s">
        <v>11</v>
      </c>
      <c r="C93">
        <v>8</v>
      </c>
      <c r="D93">
        <v>1</v>
      </c>
      <c r="E93">
        <v>564.00294644971598</v>
      </c>
      <c r="F93">
        <v>0.187264466764894</v>
      </c>
      <c r="G93">
        <v>1177.79702776055</v>
      </c>
      <c r="H93">
        <v>385.22500000000002</v>
      </c>
      <c r="I93">
        <v>255.35340378471301</v>
      </c>
      <c r="J93">
        <v>256</v>
      </c>
      <c r="K93">
        <f t="shared" si="3"/>
        <v>0.15666748512053441</v>
      </c>
      <c r="L93">
        <f t="shared" si="4"/>
        <v>4.0669085630614418E-4</v>
      </c>
      <c r="M93">
        <f t="shared" si="5"/>
        <v>0.32535268504491532</v>
      </c>
    </row>
    <row r="94" spans="1:13" x14ac:dyDescent="0.35">
      <c r="A94" t="s">
        <v>23</v>
      </c>
      <c r="B94" t="s">
        <v>11</v>
      </c>
      <c r="C94">
        <v>8</v>
      </c>
      <c r="D94">
        <v>1</v>
      </c>
      <c r="E94">
        <v>533.95312464085396</v>
      </c>
      <c r="F94">
        <v>0.20797933807476601</v>
      </c>
      <c r="G94">
        <v>1251.66129281399</v>
      </c>
      <c r="H94">
        <v>387.49299999999999</v>
      </c>
      <c r="I94">
        <v>319.06888430968502</v>
      </c>
      <c r="J94">
        <v>320</v>
      </c>
      <c r="K94">
        <f t="shared" si="3"/>
        <v>0.14832031239608423</v>
      </c>
      <c r="L94">
        <f t="shared" si="4"/>
        <v>3.827690110429975E-4</v>
      </c>
      <c r="M94">
        <f t="shared" si="5"/>
        <v>0.30621520883439801</v>
      </c>
    </row>
    <row r="95" spans="1:13" x14ac:dyDescent="0.35">
      <c r="A95" t="s">
        <v>23</v>
      </c>
      <c r="B95" t="s">
        <v>11</v>
      </c>
      <c r="C95">
        <v>8</v>
      </c>
      <c r="D95">
        <v>1</v>
      </c>
      <c r="E95">
        <v>442.55029749049601</v>
      </c>
      <c r="F95">
        <v>0.25138644881906003</v>
      </c>
      <c r="G95">
        <v>1465.12532562615</v>
      </c>
      <c r="H95">
        <v>388.67649999999998</v>
      </c>
      <c r="I95">
        <v>509.62964684014798</v>
      </c>
      <c r="J95">
        <v>512</v>
      </c>
      <c r="K95">
        <f t="shared" si="3"/>
        <v>0.12293063818836238</v>
      </c>
      <c r="L95">
        <f t="shared" si="4"/>
        <v>3.1628008945321464E-4</v>
      </c>
      <c r="M95">
        <f t="shared" si="5"/>
        <v>0.25302407156257173</v>
      </c>
    </row>
    <row r="96" spans="1:13" x14ac:dyDescent="0.35">
      <c r="A96" t="s">
        <v>23</v>
      </c>
      <c r="B96" t="s">
        <v>11</v>
      </c>
      <c r="C96">
        <v>8</v>
      </c>
      <c r="D96">
        <v>1</v>
      </c>
      <c r="E96">
        <v>1274.24844823576</v>
      </c>
      <c r="F96">
        <v>0.119618618713941</v>
      </c>
      <c r="G96">
        <v>492.71377440319498</v>
      </c>
      <c r="H96">
        <v>382.33600000000001</v>
      </c>
      <c r="I96">
        <v>63.848814862267702</v>
      </c>
      <c r="J96">
        <v>64</v>
      </c>
      <c r="K96">
        <f t="shared" si="3"/>
        <v>0.35395790227780027</v>
      </c>
      <c r="L96">
        <f t="shared" si="4"/>
        <v>9.2577707115678426E-4</v>
      </c>
      <c r="M96">
        <f t="shared" si="5"/>
        <v>0.74062165692542736</v>
      </c>
    </row>
    <row r="97" spans="1:13" x14ac:dyDescent="0.35">
      <c r="A97" t="s">
        <v>23</v>
      </c>
      <c r="B97" t="s">
        <v>11</v>
      </c>
      <c r="C97">
        <v>8</v>
      </c>
      <c r="D97">
        <v>1</v>
      </c>
      <c r="E97">
        <v>397.51115745832101</v>
      </c>
      <c r="F97">
        <v>0.290138946837462</v>
      </c>
      <c r="G97">
        <v>1611.06157071546</v>
      </c>
      <c r="H97">
        <v>383.69850000000002</v>
      </c>
      <c r="I97">
        <v>760.91345454545399</v>
      </c>
      <c r="J97">
        <v>768</v>
      </c>
      <c r="K97">
        <f t="shared" si="3"/>
        <v>0.11041976595755297</v>
      </c>
      <c r="L97">
        <f t="shared" si="4"/>
        <v>2.8777742409092808E-4</v>
      </c>
      <c r="M97">
        <f t="shared" si="5"/>
        <v>0.23022193927274248</v>
      </c>
    </row>
    <row r="98" spans="1:13" x14ac:dyDescent="0.35">
      <c r="A98" t="s">
        <v>24</v>
      </c>
      <c r="B98" t="s">
        <v>11</v>
      </c>
      <c r="C98">
        <v>4</v>
      </c>
      <c r="D98">
        <v>1</v>
      </c>
      <c r="E98">
        <v>138.78204860689399</v>
      </c>
      <c r="F98">
        <v>0.24206324576552801</v>
      </c>
      <c r="G98">
        <v>2182.5446766069599</v>
      </c>
      <c r="H98">
        <v>375.30950000000001</v>
      </c>
      <c r="I98">
        <v>1005.47925764192</v>
      </c>
      <c r="J98">
        <v>1024</v>
      </c>
      <c r="K98">
        <f t="shared" si="3"/>
        <v>3.8550569056391135E-2</v>
      </c>
      <c r="L98">
        <f t="shared" si="4"/>
        <v>1.0271674193270123E-4</v>
      </c>
      <c r="M98">
        <f t="shared" si="5"/>
        <v>8.2173393546160975E-2</v>
      </c>
    </row>
    <row r="99" spans="1:13" x14ac:dyDescent="0.35">
      <c r="A99" t="s">
        <v>24</v>
      </c>
      <c r="B99" t="s">
        <v>11</v>
      </c>
      <c r="C99">
        <v>4</v>
      </c>
      <c r="D99">
        <v>1</v>
      </c>
      <c r="E99">
        <v>247.96991837327701</v>
      </c>
      <c r="F99">
        <v>9.2183229816588899E-2</v>
      </c>
      <c r="G99">
        <v>1307.12898612649</v>
      </c>
      <c r="H99">
        <v>373.49900000000002</v>
      </c>
      <c r="I99">
        <v>127.71270412399601</v>
      </c>
      <c r="J99">
        <v>128</v>
      </c>
      <c r="K99">
        <f t="shared" si="3"/>
        <v>6.8880532879537174E-2</v>
      </c>
      <c r="L99">
        <f t="shared" si="4"/>
        <v>1.8441959116232486E-4</v>
      </c>
      <c r="M99">
        <f t="shared" si="5"/>
        <v>0.14753567292985989</v>
      </c>
    </row>
    <row r="100" spans="1:13" x14ac:dyDescent="0.35">
      <c r="A100" t="s">
        <v>24</v>
      </c>
      <c r="B100" t="s">
        <v>11</v>
      </c>
      <c r="C100">
        <v>4</v>
      </c>
      <c r="D100">
        <v>1</v>
      </c>
      <c r="E100">
        <v>136.06817516199899</v>
      </c>
      <c r="F100">
        <v>0.26476397687799302</v>
      </c>
      <c r="G100">
        <v>2237.6423620031101</v>
      </c>
      <c r="H100">
        <v>379.3125</v>
      </c>
      <c r="I100">
        <v>1241.7042459736399</v>
      </c>
      <c r="J100">
        <v>1280</v>
      </c>
      <c r="K100">
        <f t="shared" si="3"/>
        <v>3.7796715321719188E-2</v>
      </c>
      <c r="L100">
        <f t="shared" si="4"/>
        <v>9.9645319681579669E-5</v>
      </c>
      <c r="M100">
        <f t="shared" si="5"/>
        <v>7.9716255745263739E-2</v>
      </c>
    </row>
    <row r="101" spans="1:13" x14ac:dyDescent="0.35">
      <c r="A101" t="s">
        <v>24</v>
      </c>
      <c r="B101" t="s">
        <v>11</v>
      </c>
      <c r="C101">
        <v>4</v>
      </c>
      <c r="D101">
        <v>1</v>
      </c>
      <c r="E101">
        <v>220.668071437896</v>
      </c>
      <c r="F101">
        <v>0.122194206422697</v>
      </c>
      <c r="G101">
        <v>1428.1662252547601</v>
      </c>
      <c r="H101">
        <v>379.35250000000002</v>
      </c>
      <c r="I101">
        <v>191.55757341576501</v>
      </c>
      <c r="J101">
        <v>192</v>
      </c>
      <c r="K101">
        <f t="shared" si="3"/>
        <v>6.1296686508810358E-2</v>
      </c>
      <c r="L101">
        <f t="shared" si="4"/>
        <v>1.615823976613054E-4</v>
      </c>
      <c r="M101">
        <f t="shared" si="5"/>
        <v>0.12926591812904431</v>
      </c>
    </row>
    <row r="102" spans="1:13" x14ac:dyDescent="0.35">
      <c r="A102" t="s">
        <v>24</v>
      </c>
      <c r="B102" t="s">
        <v>11</v>
      </c>
      <c r="C102">
        <v>4</v>
      </c>
      <c r="D102">
        <v>1</v>
      </c>
      <c r="E102">
        <v>189.413896953094</v>
      </c>
      <c r="F102">
        <v>0.12932754365743099</v>
      </c>
      <c r="G102">
        <v>1704.77076550374</v>
      </c>
      <c r="H102">
        <v>378.52600000000001</v>
      </c>
      <c r="I102">
        <v>255.35746380429299</v>
      </c>
      <c r="J102">
        <v>256</v>
      </c>
      <c r="K102">
        <f t="shared" si="3"/>
        <v>5.261497137438622E-2</v>
      </c>
      <c r="L102">
        <f t="shared" si="4"/>
        <v>1.3899962320788062E-4</v>
      </c>
      <c r="M102">
        <f t="shared" si="5"/>
        <v>0.1111996985663045</v>
      </c>
    </row>
    <row r="103" spans="1:13" x14ac:dyDescent="0.35">
      <c r="A103" t="s">
        <v>24</v>
      </c>
      <c r="B103" t="s">
        <v>11</v>
      </c>
      <c r="C103">
        <v>4</v>
      </c>
      <c r="D103">
        <v>1</v>
      </c>
      <c r="E103">
        <v>171.70814862074101</v>
      </c>
      <c r="F103">
        <v>0.14491620128543101</v>
      </c>
      <c r="G103">
        <v>1810.61643388226</v>
      </c>
      <c r="H103">
        <v>374.5865</v>
      </c>
      <c r="I103">
        <v>319.09093692590301</v>
      </c>
      <c r="J103">
        <v>320</v>
      </c>
      <c r="K103">
        <f t="shared" si="3"/>
        <v>4.7696707948870327E-2</v>
      </c>
      <c r="L103">
        <f t="shared" si="4"/>
        <v>1.2733162553607864E-4</v>
      </c>
      <c r="M103">
        <f t="shared" si="5"/>
        <v>0.10186530042886291</v>
      </c>
    </row>
    <row r="104" spans="1:13" x14ac:dyDescent="0.35">
      <c r="A104" t="s">
        <v>24</v>
      </c>
      <c r="B104" t="s">
        <v>11</v>
      </c>
      <c r="C104">
        <v>4</v>
      </c>
      <c r="D104">
        <v>1</v>
      </c>
      <c r="E104">
        <v>159.998265639214</v>
      </c>
      <c r="F104">
        <v>0.182336879764874</v>
      </c>
      <c r="G104">
        <v>1948.5403179120599</v>
      </c>
      <c r="H104">
        <v>376.25599999999997</v>
      </c>
      <c r="I104">
        <v>509.49567307692303</v>
      </c>
      <c r="J104">
        <v>512</v>
      </c>
      <c r="K104">
        <f t="shared" si="3"/>
        <v>4.4443962676315008E-2</v>
      </c>
      <c r="L104">
        <f t="shared" si="4"/>
        <v>1.1812160517391088E-4</v>
      </c>
      <c r="M104">
        <f t="shared" si="5"/>
        <v>9.4497284139128696E-2</v>
      </c>
    </row>
    <row r="105" spans="1:13" x14ac:dyDescent="0.35">
      <c r="A105" t="s">
        <v>24</v>
      </c>
      <c r="B105" t="s">
        <v>11</v>
      </c>
      <c r="C105">
        <v>4</v>
      </c>
      <c r="D105">
        <v>1</v>
      </c>
      <c r="E105">
        <v>377.78742867815998</v>
      </c>
      <c r="F105">
        <v>7.1071428051703994E-2</v>
      </c>
      <c r="G105">
        <v>873.83630054903301</v>
      </c>
      <c r="H105">
        <v>375.58699999999999</v>
      </c>
      <c r="I105">
        <v>63.8512446416484</v>
      </c>
      <c r="J105">
        <v>64</v>
      </c>
      <c r="K105">
        <f t="shared" si="3"/>
        <v>0.10494095240766164</v>
      </c>
      <c r="L105">
        <f t="shared" si="4"/>
        <v>2.7940517751589287E-4</v>
      </c>
      <c r="M105">
        <f t="shared" si="5"/>
        <v>0.22352414201271428</v>
      </c>
    </row>
    <row r="106" spans="1:13" x14ac:dyDescent="0.35">
      <c r="A106" t="s">
        <v>24</v>
      </c>
      <c r="B106" t="s">
        <v>11</v>
      </c>
      <c r="C106">
        <v>4</v>
      </c>
      <c r="D106">
        <v>1</v>
      </c>
      <c r="E106">
        <v>165.43368302655401</v>
      </c>
      <c r="F106">
        <v>0.250319152871879</v>
      </c>
      <c r="G106">
        <v>1820.1202514731899</v>
      </c>
      <c r="H106">
        <v>378.75900000000001</v>
      </c>
      <c r="I106">
        <v>760.50221893491096</v>
      </c>
      <c r="J106">
        <v>768</v>
      </c>
      <c r="K106">
        <f t="shared" si="3"/>
        <v>4.5953800839422736E-2</v>
      </c>
      <c r="L106">
        <f t="shared" si="4"/>
        <v>1.2132728420822405E-4</v>
      </c>
      <c r="M106">
        <f t="shared" si="5"/>
        <v>9.7061827366579242E-2</v>
      </c>
    </row>
  </sheetData>
  <pageMargins left="0.7" right="0.7" top="0.75" bottom="0.75" header="0.3" footer="0.3"/>
  <legacyDrawing r:id="rId1"/>
</worksheet>
</file>

<file path=docMetadata/LabelInfo.xml><?xml version="1.0" encoding="utf-8"?>
<clbl:labelList xmlns:clbl="http://schemas.microsoft.com/office/2020/mipLabelMetadata">
  <clbl:label id="{ba5a7f39-e3be-4ab3-b450-67fa80faecad}" enabled="0" method="" siteId="{ba5a7f39-e3be-4ab3-b450-67fa80faeca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Thorpe, Ethan I</cp:lastModifiedBy>
  <dcterms:created xsi:type="dcterms:W3CDTF">2026-03-10T00:44:47Z</dcterms:created>
  <dcterms:modified xsi:type="dcterms:W3CDTF">2026-03-10T01:04:46Z</dcterms:modified>
</cp:coreProperties>
</file>